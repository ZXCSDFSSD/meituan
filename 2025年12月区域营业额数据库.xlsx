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0" windowHeight="12000" firstSheet="7" activeTab="10"/>
  </bookViews>
  <sheets>
    <sheet name="24年对比25年老店营业额" sheetId="9" r:id="rId1"/>
    <sheet name="2025年老店营业额同比 环比分析" sheetId="1" r:id="rId2"/>
    <sheet name="25年新店营业额环比分析" sheetId="19" r:id="rId3"/>
    <sheet name="2025年分渠道营业额" sheetId="23" r:id="rId4"/>
    <sheet name="2025年12月 堂食&amp;外卖销售统计" sheetId="20" r:id="rId5"/>
    <sheet name="2025年区域门店销售部类分析" sheetId="16" r:id="rId6"/>
    <sheet name="2025年市场部类营业额统计表-堂食" sheetId="21" r:id="rId7"/>
    <sheet name="2025年市场部类营业额统计表-外卖" sheetId="22" r:id="rId8"/>
    <sheet name="华南海鲜店" sheetId="10" state="hidden" r:id="rId9"/>
    <sheet name="2025区域门店销售时段分析" sheetId="18" r:id="rId10"/>
    <sheet name="2025年门店销售时段分析" sheetId="27" r:id="rId1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User</author>
  </authors>
  <commentList>
    <comment ref="A3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S3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AK3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A27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S27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A51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S51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AK62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2019年8月撤店</t>
        </r>
      </text>
    </comment>
    <comment ref="A75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AK80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2019年9月撤店</t>
        </r>
      </text>
    </comment>
    <comment ref="S116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2019年9月17日营业半天后，停业装修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C20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C38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C57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C75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C94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C113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  <comment ref="C132" authorId="0">
      <text>
        <r>
          <rPr>
            <sz val="9"/>
            <rFont val="宋体"/>
            <charset val="134"/>
          </rPr>
          <t xml:space="preserve">2019年12月26日14时停止营业
2019年12月26日门店转让
</t>
        </r>
      </text>
    </comment>
  </commentList>
</comments>
</file>

<file path=xl/sharedStrings.xml><?xml version="1.0" encoding="utf-8"?>
<sst xmlns="http://schemas.openxmlformats.org/spreadsheetml/2006/main" count="2020" uniqueCount="247">
  <si>
    <t>市场2024年-2025年营业额统计表</t>
  </si>
  <si>
    <t>年份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</si>
  <si>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</si>
  <si>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</si>
  <si>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</si>
  <si>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</si>
  <si>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</si>
  <si>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</si>
  <si>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</si>
  <si>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</si>
  <si>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</si>
  <si>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</si>
  <si>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</si>
  <si>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</si>
  <si>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</si>
  <si>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2024年</t>
  </si>
  <si>
    <t>2025年</t>
  </si>
  <si>
    <t>25年vs24年</t>
  </si>
  <si>
    <t>25年对比24年新增门店 ： 2-12月 铁机路的营业额； 1-10月蔡甸中百店营业额； 3-12月东辉店营业额；</t>
  </si>
  <si>
    <t>市场2024年-2025年TC统计</t>
  </si>
  <si>
    <t>市场2024年-2025年AC统计</t>
  </si>
  <si>
    <t>年平均</t>
  </si>
  <si>
    <t>市场2025年老店营业额统计</t>
  </si>
  <si>
    <t>市场2024年老店营业额统计</t>
  </si>
  <si>
    <t>市场老店24年&amp;25年营业额同比</t>
  </si>
  <si>
    <t>市场老店25年&amp;24年营业额同比</t>
  </si>
  <si>
    <t>直营门店</t>
  </si>
  <si>
    <t>11月日均</t>
  </si>
  <si>
    <t>12月日均</t>
  </si>
  <si>
    <t>25年12月环比11月</t>
  </si>
  <si>
    <t>25&amp;24年12月同比</t>
  </si>
  <si>
    <t>全年同比</t>
  </si>
  <si>
    <t>步行街店</t>
  </si>
  <si>
    <t>新常青十一小区店</t>
  </si>
  <si>
    <t>新工厂店</t>
  </si>
  <si>
    <t>光谷华科店</t>
  </si>
  <si>
    <t>新华路店</t>
  </si>
  <si>
    <t>市场2025年老店TC统计</t>
  </si>
  <si>
    <t>市场2024年老店TC统计</t>
  </si>
  <si>
    <t>市场老店24年&amp;25年TC同比</t>
  </si>
  <si>
    <t>市场老店25年&amp;24年TC同比</t>
  </si>
  <si>
    <t>平均</t>
  </si>
  <si>
    <t>市场2025年老店AC统计</t>
  </si>
  <si>
    <t>市场2024年老店AC统计</t>
  </si>
  <si>
    <t>市场老店24年&amp;25年AC同比</t>
  </si>
  <si>
    <t>市场老店25年&amp;24年AC同比</t>
  </si>
  <si>
    <t>25年12月  环比11月</t>
  </si>
  <si>
    <t>25&amp;24年      12月同比</t>
  </si>
  <si>
    <t>市场2025年新店营业额统计</t>
  </si>
  <si>
    <t>市场2024年营业额统计</t>
  </si>
  <si>
    <t>12月日均环比11月</t>
  </si>
  <si>
    <t>12月日均环比11月日均</t>
  </si>
  <si>
    <t>12月同比</t>
  </si>
  <si>
    <t>铁机路店</t>
  </si>
  <si>
    <t>蔡甸中百店</t>
  </si>
  <si>
    <t>东辉花园店</t>
  </si>
  <si>
    <t>市场2025年新店TC统计</t>
  </si>
  <si>
    <t>市场2024年TC统计</t>
  </si>
  <si>
    <t>市场2025年新店AC统计</t>
  </si>
  <si>
    <t>市场2024年AC统计</t>
  </si>
  <si>
    <t>序号</t>
  </si>
  <si>
    <t>经营方式</t>
  </si>
  <si>
    <t>选址类型</t>
  </si>
  <si>
    <t>堂食营业额</t>
  </si>
  <si>
    <t>堂食TC</t>
  </si>
  <si>
    <t>堂食AC</t>
  </si>
  <si>
    <t>堂食优惠金额</t>
  </si>
  <si>
    <t>外卖营业额</t>
  </si>
  <si>
    <t>外卖TC</t>
  </si>
  <si>
    <t>外卖AC</t>
  </si>
  <si>
    <t>外卖优惠金额</t>
  </si>
  <si>
    <t>美团外卖营业额</t>
  </si>
  <si>
    <t>美团TC</t>
  </si>
  <si>
    <t>美团AC</t>
  </si>
  <si>
    <t>美团优惠金额</t>
  </si>
  <si>
    <t>饿了么营业额</t>
  </si>
  <si>
    <t>饿了么TC</t>
  </si>
  <si>
    <t>饿了么AC</t>
  </si>
  <si>
    <t>饿了么优惠金额</t>
  </si>
  <si>
    <t>京东外卖营业额</t>
  </si>
  <si>
    <t>京东TC</t>
  </si>
  <si>
    <t>京东AC</t>
  </si>
  <si>
    <t>京东优惠金额</t>
  </si>
  <si>
    <t>总计营业额</t>
  </si>
  <si>
    <t>堂食营业额占比</t>
  </si>
  <si>
    <t>外卖营业额占比</t>
  </si>
  <si>
    <t>美团占比</t>
  </si>
  <si>
    <t>饿了吗占比</t>
  </si>
  <si>
    <t>京东占比</t>
  </si>
  <si>
    <r>
      <rPr>
        <b/>
        <sz val="10"/>
        <rFont val="微软雅黑"/>
        <charset val="134"/>
      </rPr>
      <t>直营</t>
    </r>
  </si>
  <si>
    <r>
      <rPr>
        <b/>
        <sz val="10"/>
        <color theme="1"/>
        <rFont val="微软雅黑"/>
        <charset val="134"/>
      </rPr>
      <t>商圈</t>
    </r>
  </si>
  <si>
    <r>
      <rPr>
        <b/>
        <sz val="12"/>
        <color theme="1"/>
        <rFont val="微软雅黑"/>
        <charset val="134"/>
      </rPr>
      <t>步行街店</t>
    </r>
  </si>
  <si>
    <r>
      <rPr>
        <b/>
        <sz val="10"/>
        <color theme="1"/>
        <rFont val="微软雅黑"/>
        <charset val="134"/>
      </rPr>
      <t>社区</t>
    </r>
  </si>
  <si>
    <r>
      <rPr>
        <b/>
        <sz val="12"/>
        <color theme="1"/>
        <rFont val="微软雅黑"/>
        <charset val="134"/>
      </rPr>
      <t>新常青十一小区店</t>
    </r>
  </si>
  <si>
    <r>
      <rPr>
        <b/>
        <sz val="10"/>
        <color theme="1"/>
        <rFont val="微软雅黑"/>
        <charset val="134"/>
      </rPr>
      <t>写字楼</t>
    </r>
  </si>
  <si>
    <r>
      <rPr>
        <b/>
        <sz val="12"/>
        <color theme="1"/>
        <rFont val="微软雅黑"/>
        <charset val="134"/>
      </rPr>
      <t>新工厂店</t>
    </r>
  </si>
  <si>
    <r>
      <rPr>
        <b/>
        <sz val="10"/>
        <color theme="1"/>
        <rFont val="微软雅黑"/>
        <charset val="134"/>
      </rPr>
      <t>合伙</t>
    </r>
  </si>
  <si>
    <r>
      <rPr>
        <b/>
        <sz val="12"/>
        <color theme="1"/>
        <rFont val="微软雅黑"/>
        <charset val="134"/>
      </rPr>
      <t>蔡甸中百店</t>
    </r>
  </si>
  <si>
    <r>
      <rPr>
        <b/>
        <sz val="12"/>
        <color theme="1"/>
        <rFont val="微软雅黑"/>
        <charset val="134"/>
      </rPr>
      <t>光谷华科店</t>
    </r>
  </si>
  <si>
    <r>
      <rPr>
        <b/>
        <sz val="12"/>
        <color theme="1"/>
        <rFont val="微软雅黑"/>
        <charset val="134"/>
      </rPr>
      <t>新华路店</t>
    </r>
  </si>
  <si>
    <r>
      <rPr>
        <b/>
        <sz val="10"/>
        <rFont val="微软雅黑"/>
        <charset val="134"/>
      </rPr>
      <t>合伙</t>
    </r>
  </si>
  <si>
    <r>
      <rPr>
        <b/>
        <sz val="12"/>
        <color theme="1"/>
        <rFont val="微软雅黑"/>
        <charset val="134"/>
      </rPr>
      <t>东辉花园店</t>
    </r>
  </si>
  <si>
    <t>总计</t>
  </si>
  <si>
    <t>铁机盛世家园店</t>
  </si>
  <si>
    <t>2025年市场部类营业额统计表</t>
  </si>
  <si>
    <t>店型</t>
  </si>
  <si>
    <t>门店名称</t>
  </si>
  <si>
    <t>部类</t>
  </si>
  <si>
    <t>12月vs11月日均</t>
  </si>
  <si>
    <t>年销售量占比</t>
  </si>
  <si>
    <t>年销售额占比</t>
  </si>
  <si>
    <t>销售数量</t>
  </si>
  <si>
    <t>销售额</t>
  </si>
  <si>
    <t>销售量环比</t>
  </si>
  <si>
    <t>销售额环比</t>
  </si>
  <si>
    <t>粉面</t>
  </si>
  <si>
    <t>小吃</t>
  </si>
  <si>
    <t>饮品</t>
  </si>
  <si>
    <t>米饭</t>
  </si>
  <si>
    <t>小型</t>
  </si>
  <si>
    <t>小吃类</t>
  </si>
  <si>
    <t>热干系列</t>
  </si>
  <si>
    <t>汤粉面</t>
  </si>
  <si>
    <t>甜品类</t>
  </si>
  <si>
    <t>套餐系列</t>
  </si>
  <si>
    <t>养生粥类</t>
  </si>
  <si>
    <t>炒饭类</t>
  </si>
  <si>
    <t>鲜烫系列</t>
  </si>
  <si>
    <t>鲜食类</t>
  </si>
  <si>
    <t>浇头类</t>
  </si>
  <si>
    <t>盖浇饭</t>
  </si>
  <si>
    <t>十一小区店</t>
  </si>
  <si>
    <t>活动套餐</t>
  </si>
  <si>
    <t>生烫类</t>
  </si>
  <si>
    <t>加料类</t>
  </si>
  <si>
    <t>下单福利</t>
  </si>
  <si>
    <t>餐具小料米饭</t>
  </si>
  <si>
    <t>外卖餐盒费</t>
  </si>
  <si>
    <t>工厂店</t>
  </si>
  <si>
    <t>饮品甜品类</t>
  </si>
  <si>
    <t>蒸蛋</t>
  </si>
  <si>
    <t>套餐</t>
  </si>
  <si>
    <t>活动菜品&amp;福利</t>
  </si>
  <si>
    <t>鲜食小包装</t>
  </si>
  <si>
    <t>餐具小料</t>
  </si>
  <si>
    <t>蔡甸中百</t>
  </si>
  <si>
    <t>饮品类</t>
  </si>
  <si>
    <t>骨汤类</t>
  </si>
  <si>
    <t>盖码饭</t>
  </si>
  <si>
    <t>加价</t>
  </si>
  <si>
    <t>掺汤类</t>
  </si>
  <si>
    <t>套餐类</t>
  </si>
  <si>
    <t>外卖餐盒类</t>
  </si>
  <si>
    <t>热干面类</t>
  </si>
  <si>
    <t>汤粉面类</t>
  </si>
  <si>
    <t>盖饭类</t>
  </si>
  <si>
    <t>加浇头</t>
  </si>
  <si>
    <t>鲜食系列</t>
  </si>
  <si>
    <t>调料&amp;餐具</t>
  </si>
  <si>
    <t>中型</t>
  </si>
  <si>
    <t>热干面</t>
  </si>
  <si>
    <t>浇头</t>
  </si>
  <si>
    <t>鲜烫</t>
  </si>
  <si>
    <t>炒饭</t>
  </si>
  <si>
    <t>套餐&amp;拼好饭</t>
  </si>
  <si>
    <t>火锅</t>
  </si>
  <si>
    <t>甜品类&amp;饮料</t>
  </si>
  <si>
    <t>盖浇饭类</t>
  </si>
  <si>
    <t>小碗菜</t>
  </si>
  <si>
    <t>养生粥类&amp;汤</t>
  </si>
  <si>
    <t>下单&amp;收藏福利&amp;活动菜品（凉面）</t>
  </si>
  <si>
    <t>调味小料&amp;米饭</t>
  </si>
  <si>
    <t>大型</t>
  </si>
  <si>
    <t>华科店</t>
  </si>
  <si>
    <t>营养汤类</t>
  </si>
  <si>
    <t>小锅仔</t>
  </si>
  <si>
    <t>称菜</t>
  </si>
  <si>
    <t>下单&amp;收藏福利</t>
  </si>
  <si>
    <t>餐具&amp;米饭&amp;调味料</t>
  </si>
  <si>
    <t>调味小料</t>
  </si>
  <si>
    <t>外卖餐盒费&amp;配送费</t>
  </si>
  <si>
    <t>2025年市场部类营业额统计表-堂食</t>
  </si>
  <si>
    <t>销售量占比</t>
  </si>
  <si>
    <t>销售额占比</t>
  </si>
  <si>
    <t>热干类</t>
  </si>
  <si>
    <t>2025年市场部类营业额统计表-外卖</t>
  </si>
  <si>
    <t>粉面类</t>
  </si>
  <si>
    <t>武汉二区2016年-2019年营业额统计表</t>
  </si>
  <si>
    <t>环比</t>
  </si>
  <si>
    <t>2016年</t>
  </si>
  <si>
    <t>2017年</t>
  </si>
  <si>
    <t>2018年</t>
  </si>
  <si>
    <t>2019年</t>
  </si>
  <si>
    <t>武汉二区2016年-2019年TC统计</t>
  </si>
  <si>
    <t>武汉二区2016年-2019年AC统计</t>
  </si>
  <si>
    <t>对比</t>
  </si>
  <si>
    <t>武汉二区2019年营业额同比数据</t>
  </si>
  <si>
    <t>武汉二区2019年TC同比数据</t>
  </si>
  <si>
    <t>武汉二区2019年AC对比数据统计</t>
  </si>
  <si>
    <t>2025年（小型）门店时段销售报表</t>
  </si>
  <si>
    <t>2025年（中型）门店时段销售报表</t>
  </si>
  <si>
    <t>2025年（大型）门店时段销售报表</t>
  </si>
  <si>
    <t>店名</t>
  </si>
  <si>
    <t>时段</t>
  </si>
  <si>
    <t>12月环比11月</t>
  </si>
  <si>
    <t>00:00-05:00</t>
  </si>
  <si>
    <t>0-5点时段</t>
  </si>
  <si>
    <t>东辉店</t>
  </si>
  <si>
    <t>05:00-06:00</t>
  </si>
  <si>
    <t>5点时段</t>
  </si>
  <si>
    <t>06:00-07:00</t>
  </si>
  <si>
    <t>6点时段</t>
  </si>
  <si>
    <t>07:00-08:00</t>
  </si>
  <si>
    <t>7点时段</t>
  </si>
  <si>
    <t>08:00-09:00</t>
  </si>
  <si>
    <t>8点时段</t>
  </si>
  <si>
    <t>09:00-10:00</t>
  </si>
  <si>
    <t>9点时段</t>
  </si>
  <si>
    <t>10:00-11:00</t>
  </si>
  <si>
    <t>10点时段</t>
  </si>
  <si>
    <t>11:00-12:00</t>
  </si>
  <si>
    <t>11点时段</t>
  </si>
  <si>
    <t>12:00-13:00</t>
  </si>
  <si>
    <t>12点时段</t>
  </si>
  <si>
    <t>13:00-14:00</t>
  </si>
  <si>
    <t>13点时段</t>
  </si>
  <si>
    <t>14:00-15:00</t>
  </si>
  <si>
    <t>14点时段</t>
  </si>
  <si>
    <t>15:00-16:00</t>
  </si>
  <si>
    <t>15点时段</t>
  </si>
  <si>
    <t>16:00-17:00</t>
  </si>
  <si>
    <t>16点时段</t>
  </si>
  <si>
    <t>17:00-18:00</t>
  </si>
  <si>
    <t>17点时段</t>
  </si>
  <si>
    <t>18:00-19:00</t>
  </si>
  <si>
    <t>18点时段</t>
  </si>
  <si>
    <t>19:00-20:00</t>
  </si>
  <si>
    <t>19点时段</t>
  </si>
  <si>
    <t>20:00-21:00</t>
  </si>
  <si>
    <t>20点时段</t>
  </si>
  <si>
    <t>21:00-22:00</t>
  </si>
  <si>
    <t>21点时段</t>
  </si>
  <si>
    <t>22:00-23:00</t>
  </si>
  <si>
    <t>22点时段</t>
  </si>
  <si>
    <t>23:00-24:00</t>
  </si>
  <si>
    <t>23点时段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</si>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</sst>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#,##0.00;&quot;-&quot;#,##0.00;#,##0.00;General"/>
    <numFmt numFmtId="178" formatCode="0_ "/>
    <numFmt numFmtId="179" formatCode="0.00_);[Red]\(0.00\)"/>
    <numFmt numFmtId="180" formatCode="0.00_ "/>
    <numFmt numFmtId="181" formatCode="0_);[Red]\(0\)"/>
    <numFmt numFmtId="182" formatCode="#,##0;&quot;-&quot;#,##0;#,##0;General"/>
    <numFmt numFmtId="183" formatCode="0.0_ "/>
  </numFmts>
  <fonts count="74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b/>
      <sz val="11"/>
      <name val="微软雅黑"/>
      <charset val="134"/>
    </font>
    <font>
      <sz val="12"/>
      <name val="宋体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b/>
      <sz val="11"/>
      <color rgb="FF000000"/>
      <name val="微软雅黑"/>
      <charset val="134"/>
    </font>
    <font>
      <sz val="11"/>
      <name val="宋体"/>
      <charset val="134"/>
    </font>
    <font>
      <b/>
      <sz val="10"/>
      <name val="微软雅黑"/>
      <charset val="134"/>
    </font>
    <font>
      <sz val="10"/>
      <color theme="1"/>
      <name val="微软雅黑"/>
      <charset val="134"/>
    </font>
    <font>
      <sz val="11"/>
      <color rgb="FFC00000"/>
      <name val="宋体"/>
      <charset val="134"/>
    </font>
    <font>
      <sz val="10"/>
      <color rgb="FFC00000"/>
      <name val="微软雅黑"/>
      <charset val="134"/>
    </font>
    <font>
      <sz val="12"/>
      <name val="宋体"/>
      <charset val="134"/>
      <scheme val="major"/>
    </font>
    <font>
      <sz val="12"/>
      <name val="微软雅黑"/>
      <charset val="134"/>
    </font>
    <font>
      <b/>
      <sz val="12"/>
      <name val="微软雅黑"/>
      <charset val="134"/>
    </font>
    <font>
      <sz val="14"/>
      <name val="微软雅黑"/>
      <charset val="134"/>
    </font>
    <font>
      <b/>
      <sz val="20"/>
      <name val="微软雅黑"/>
      <charset val="134"/>
    </font>
    <font>
      <b/>
      <sz val="14"/>
      <name val="微软雅黑"/>
      <charset val="134"/>
    </font>
    <font>
      <sz val="11"/>
      <name val="宋体"/>
      <charset val="134"/>
      <scheme val="major"/>
    </font>
    <font>
      <b/>
      <sz val="12"/>
      <color rgb="FFC00000"/>
      <name val="微软雅黑"/>
      <charset val="134"/>
    </font>
    <font>
      <sz val="14"/>
      <color rgb="FFC00000"/>
      <name val="微软雅黑"/>
      <charset val="134"/>
    </font>
    <font>
      <sz val="1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sz val="12"/>
      <color rgb="FFC00000"/>
      <name val="微软雅黑"/>
      <charset val="134"/>
    </font>
    <font>
      <sz val="11"/>
      <color rgb="FFC00000"/>
      <name val="微软雅黑"/>
      <charset val="134"/>
    </font>
    <font>
      <sz val="12"/>
      <color theme="1"/>
      <name val="微软雅黑"/>
      <charset val="134"/>
    </font>
    <font>
      <b/>
      <sz val="11"/>
      <name val="宋体"/>
      <charset val="134"/>
    </font>
    <font>
      <sz val="9"/>
      <color rgb="FFC00000"/>
      <name val="微软雅黑"/>
      <charset val="134"/>
    </font>
    <font>
      <b/>
      <sz val="10"/>
      <name val="Tahoma Regular"/>
      <charset val="134"/>
    </font>
    <font>
      <b/>
      <sz val="10"/>
      <color theme="1"/>
      <name val="Tahoma Regular"/>
      <charset val="134"/>
    </font>
    <font>
      <b/>
      <sz val="12"/>
      <color theme="1"/>
      <name val="Tahoma Regular"/>
      <charset val="134"/>
    </font>
    <font>
      <sz val="10.5"/>
      <color theme="1"/>
      <name val="Arial Regular"/>
      <charset val="134"/>
    </font>
    <font>
      <sz val="11"/>
      <color theme="1"/>
      <name val="Arial Regular"/>
      <charset val="134"/>
    </font>
    <font>
      <sz val="11"/>
      <color theme="1"/>
      <name val="Tahoma Regular"/>
      <charset val="134"/>
    </font>
    <font>
      <sz val="11"/>
      <color rgb="FFC00000"/>
      <name val="Arial Regular"/>
      <charset val="134"/>
    </font>
    <font>
      <sz val="11"/>
      <color rgb="FFC00000"/>
      <name val="Tahoma Regular"/>
      <charset val="134"/>
    </font>
    <font>
      <b/>
      <sz val="10"/>
      <color theme="0"/>
      <name val="微软雅黑"/>
      <charset val="134"/>
    </font>
    <font>
      <b/>
      <sz val="10"/>
      <color theme="0"/>
      <name val="Tahoma Regular"/>
      <charset val="134"/>
    </font>
    <font>
      <b/>
      <sz val="11"/>
      <color theme="0"/>
      <name val="Arial Bold"/>
      <charset val="134"/>
    </font>
    <font>
      <b/>
      <sz val="11"/>
      <color theme="1"/>
      <name val="Arial Bold"/>
      <charset val="134"/>
    </font>
    <font>
      <sz val="11"/>
      <color theme="0"/>
      <name val="Tahoma Regular"/>
      <charset val="134"/>
    </font>
    <font>
      <sz val="11"/>
      <color theme="0"/>
      <name val="微软雅黑"/>
      <charset val="134"/>
    </font>
    <font>
      <b/>
      <sz val="11"/>
      <color rgb="FFC00000"/>
      <name val="Arial Bold"/>
      <charset val="134"/>
    </font>
    <font>
      <sz val="11"/>
      <color theme="1"/>
      <name val="Arial Bold"/>
      <charset val="134"/>
    </font>
    <font>
      <b/>
      <sz val="14"/>
      <color theme="1"/>
      <name val="微软雅黑"/>
      <charset val="134"/>
    </font>
    <font>
      <b/>
      <sz val="10"/>
      <color theme="1"/>
      <name val="微软雅黑"/>
      <charset val="134"/>
    </font>
    <font>
      <b/>
      <sz val="11"/>
      <color rgb="FFC00000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E9E9E9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17" borderId="46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47" applyNumberFormat="0" applyFill="0" applyAlignment="0" applyProtection="0">
      <alignment vertical="center"/>
    </xf>
    <xf numFmtId="0" fontId="59" fillId="0" borderId="47" applyNumberFormat="0" applyFill="0" applyAlignment="0" applyProtection="0">
      <alignment vertical="center"/>
    </xf>
    <xf numFmtId="0" fontId="60" fillId="0" borderId="48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8" borderId="49" applyNumberFormat="0" applyAlignment="0" applyProtection="0">
      <alignment vertical="center"/>
    </xf>
    <xf numFmtId="0" fontId="62" fillId="19" borderId="50" applyNumberFormat="0" applyAlignment="0" applyProtection="0">
      <alignment vertical="center"/>
    </xf>
    <xf numFmtId="0" fontId="63" fillId="19" borderId="49" applyNumberFormat="0" applyAlignment="0" applyProtection="0">
      <alignment vertical="center"/>
    </xf>
    <xf numFmtId="0" fontId="64" fillId="20" borderId="51" applyNumberFormat="0" applyAlignment="0" applyProtection="0">
      <alignment vertical="center"/>
    </xf>
    <xf numFmtId="0" fontId="65" fillId="0" borderId="52" applyNumberFormat="0" applyFill="0" applyAlignment="0" applyProtection="0">
      <alignment vertical="center"/>
    </xf>
    <xf numFmtId="0" fontId="66" fillId="0" borderId="53" applyNumberFormat="0" applyFill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66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2" borderId="1" xfId="0" applyNumberFormat="1" applyFont="1" applyFill="1" applyBorder="1" applyAlignment="1" applyProtection="1">
      <alignment horizontal="left" vertical="center" wrapText="1"/>
    </xf>
    <xf numFmtId="0" fontId="5" fillId="2" borderId="1" xfId="0" applyNumberFormat="1" applyFont="1" applyFill="1" applyBorder="1" applyAlignment="1" applyProtection="1">
      <alignment horizontal="left" vertical="center" wrapText="1"/>
    </xf>
    <xf numFmtId="0" fontId="6" fillId="2" borderId="1" xfId="0" applyNumberFormat="1" applyFont="1" applyFill="1" applyBorder="1" applyAlignment="1" applyProtection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 applyProtection="1">
      <alignment horizontal="center" vertical="center" wrapText="1" shrinkToFit="1"/>
    </xf>
    <xf numFmtId="177" fontId="7" fillId="0" borderId="1" xfId="0" applyNumberFormat="1" applyFont="1" applyFill="1" applyBorder="1" applyAlignment="1">
      <alignment horizontal="right" vertical="center" wrapText="1"/>
    </xf>
    <xf numFmtId="176" fontId="8" fillId="0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Fill="1" applyBorder="1" applyAlignment="1">
      <alignment horizontal="right" vertical="center" wrapText="1"/>
    </xf>
    <xf numFmtId="179" fontId="5" fillId="0" borderId="1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right" vertical="center"/>
    </xf>
    <xf numFmtId="176" fontId="9" fillId="0" borderId="1" xfId="0" applyNumberFormat="1" applyFont="1" applyFill="1" applyBorder="1" applyAlignment="1">
      <alignment horizontal="right" vertical="center"/>
    </xf>
    <xf numFmtId="177" fontId="10" fillId="3" borderId="1" xfId="0" applyNumberFormat="1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11" fillId="3" borderId="1" xfId="0" applyNumberFormat="1" applyFont="1" applyFill="1" applyBorder="1" applyAlignment="1" applyProtection="1">
      <alignment horizontal="left" vertical="center" wrapText="1"/>
    </xf>
    <xf numFmtId="0" fontId="11" fillId="3" borderId="1" xfId="0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>
      <alignment horizontal="right" vertical="center" wrapText="1"/>
    </xf>
    <xf numFmtId="177" fontId="10" fillId="0" borderId="1" xfId="0" applyNumberFormat="1" applyFont="1" applyFill="1" applyBorder="1" applyAlignment="1">
      <alignment horizontal="right" vertical="center" wrapText="1"/>
    </xf>
    <xf numFmtId="0" fontId="11" fillId="4" borderId="1" xfId="0" applyNumberFormat="1" applyFont="1" applyFill="1" applyBorder="1" applyAlignment="1" applyProtection="1">
      <alignment horizontal="left" vertical="center" wrapText="1"/>
    </xf>
    <xf numFmtId="0" fontId="5" fillId="2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80" fontId="15" fillId="0" borderId="0" xfId="0" applyNumberFormat="1" applyFont="1" applyFill="1" applyBorder="1" applyAlignment="1">
      <alignment vertical="center"/>
    </xf>
    <xf numFmtId="0" fontId="16" fillId="0" borderId="3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180" fontId="17" fillId="0" borderId="0" xfId="0" applyNumberFormat="1" applyFont="1" applyFill="1" applyBorder="1" applyAlignment="1">
      <alignment horizontal="center" vertical="center"/>
    </xf>
    <xf numFmtId="177" fontId="14" fillId="0" borderId="0" xfId="0" applyNumberFormat="1" applyFont="1" applyFill="1" applyBorder="1" applyAlignment="1">
      <alignment horizontal="right" vertical="center" wrapText="1"/>
    </xf>
    <xf numFmtId="177" fontId="7" fillId="0" borderId="0" xfId="0" applyNumberFormat="1" applyFont="1" applyFill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177" fontId="15" fillId="0" borderId="0" xfId="0" applyNumberFormat="1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center" vertical="center"/>
    </xf>
    <xf numFmtId="177" fontId="19" fillId="3" borderId="0" xfId="0" applyNumberFormat="1" applyFont="1" applyFill="1" applyBorder="1" applyAlignment="1">
      <alignment horizontal="right" vertical="center" wrapText="1"/>
    </xf>
    <xf numFmtId="177" fontId="20" fillId="3" borderId="0" xfId="0" applyNumberFormat="1" applyFont="1" applyFill="1" applyBorder="1" applyAlignment="1">
      <alignment horizontal="right" vertical="center" wrapText="1"/>
    </xf>
    <xf numFmtId="178" fontId="18" fillId="0" borderId="0" xfId="0" applyNumberFormat="1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180" fontId="20" fillId="4" borderId="0" xfId="0" applyNumberFormat="1" applyFont="1" applyFill="1" applyBorder="1" applyAlignment="1">
      <alignment vertical="center"/>
    </xf>
    <xf numFmtId="180" fontId="20" fillId="3" borderId="0" xfId="0" applyNumberFormat="1" applyFont="1" applyFill="1" applyBorder="1" applyAlignment="1">
      <alignment vertical="center"/>
    </xf>
    <xf numFmtId="176" fontId="8" fillId="0" borderId="0" xfId="0" applyNumberFormat="1" applyFont="1" applyFill="1" applyBorder="1" applyAlignment="1">
      <alignment horizontal="right" vertical="center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1" fillId="0" borderId="0" xfId="0" applyFont="1" applyFill="1" applyBorder="1" applyAlignment="1">
      <alignment vertical="center" wrapText="1"/>
    </xf>
    <xf numFmtId="0" fontId="4" fillId="2" borderId="0" xfId="0" applyNumberFormat="1" applyFont="1" applyFill="1" applyBorder="1" applyAlignment="1" applyProtection="1">
      <alignment horizontal="left" vertical="center" wrapText="1"/>
    </xf>
    <xf numFmtId="176" fontId="5" fillId="2" borderId="0" xfId="0" applyNumberFormat="1" applyFont="1" applyFill="1" applyBorder="1" applyAlignment="1" applyProtection="1">
      <alignment horizontal="center" vertical="center" wrapText="1" shrinkToFit="1"/>
    </xf>
    <xf numFmtId="178" fontId="5" fillId="0" borderId="0" xfId="0" applyNumberFormat="1" applyFont="1" applyFill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176" fontId="9" fillId="2" borderId="0" xfId="0" applyNumberFormat="1" applyFont="1" applyFill="1" applyBorder="1" applyAlignment="1">
      <alignment horizontal="right" vertical="center"/>
    </xf>
    <xf numFmtId="176" fontId="9" fillId="0" borderId="0" xfId="0" applyNumberFormat="1" applyFont="1" applyFill="1" applyBorder="1" applyAlignment="1">
      <alignment horizontal="right" vertical="center"/>
    </xf>
    <xf numFmtId="176" fontId="4" fillId="2" borderId="0" xfId="0" applyNumberFormat="1" applyFont="1" applyFill="1" applyBorder="1" applyAlignment="1" applyProtection="1">
      <alignment horizontal="right" vertical="center" wrapText="1"/>
    </xf>
    <xf numFmtId="0" fontId="5" fillId="0" borderId="0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0" fontId="21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right" vertical="center"/>
    </xf>
    <xf numFmtId="0" fontId="21" fillId="0" borderId="0" xfId="0" applyFont="1" applyFill="1" applyBorder="1" applyAlignment="1">
      <alignment vertical="center"/>
    </xf>
    <xf numFmtId="177" fontId="7" fillId="0" borderId="0" xfId="0" applyNumberFormat="1" applyFont="1" applyFill="1" applyBorder="1" applyAlignment="1">
      <alignment horizontal="right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176" fontId="8" fillId="0" borderId="0" xfId="0" applyNumberFormat="1" applyFont="1" applyFill="1" applyBorder="1" applyAlignment="1">
      <alignment horizontal="right" vertical="center"/>
    </xf>
    <xf numFmtId="0" fontId="21" fillId="0" borderId="0" xfId="0" applyFont="1" applyFill="1" applyBorder="1" applyAlignment="1">
      <alignment horizontal="center" vertical="center" wrapText="1"/>
    </xf>
    <xf numFmtId="176" fontId="14" fillId="0" borderId="0" xfId="0" applyNumberFormat="1" applyFont="1" applyFill="1" applyBorder="1" applyAlignment="1">
      <alignment horizontal="right" vertical="center" wrapText="1"/>
    </xf>
    <xf numFmtId="0" fontId="4" fillId="2" borderId="0" xfId="0" applyNumberFormat="1" applyFont="1" applyFill="1" applyBorder="1" applyAlignment="1" applyProtection="1">
      <alignment vertical="center" wrapText="1"/>
    </xf>
    <xf numFmtId="176" fontId="5" fillId="2" borderId="0" xfId="0" applyNumberFormat="1" applyFont="1" applyFill="1" applyBorder="1" applyAlignment="1" applyProtection="1">
      <alignment vertical="center" wrapText="1" shrinkToFit="1"/>
    </xf>
    <xf numFmtId="176" fontId="5" fillId="0" borderId="0" xfId="0" applyNumberFormat="1" applyFont="1" applyFill="1" applyBorder="1" applyAlignment="1">
      <alignment vertical="center"/>
    </xf>
    <xf numFmtId="176" fontId="9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76" fontId="14" fillId="0" borderId="0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176" fontId="5" fillId="0" borderId="0" xfId="0" applyNumberFormat="1" applyFont="1" applyFill="1" applyBorder="1" applyAlignment="1" applyProtection="1">
      <alignment horizontal="center" vertical="center" wrapText="1" shrinkToFit="1"/>
    </xf>
    <xf numFmtId="176" fontId="5" fillId="0" borderId="0" xfId="0" applyNumberFormat="1" applyFont="1" applyFill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horizontal="right"/>
    </xf>
    <xf numFmtId="176" fontId="15" fillId="0" borderId="0" xfId="0" applyNumberFormat="1" applyFont="1" applyFill="1" applyBorder="1" applyAlignment="1">
      <alignment horizontal="right" vertical="center" wrapText="1"/>
    </xf>
    <xf numFmtId="176" fontId="17" fillId="0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180" fontId="17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right" vertical="center"/>
    </xf>
    <xf numFmtId="0" fontId="3" fillId="5" borderId="4" xfId="0" applyFont="1" applyFill="1" applyBorder="1" applyAlignment="1">
      <alignment horizontal="right" vertical="center"/>
    </xf>
    <xf numFmtId="176" fontId="14" fillId="0" borderId="0" xfId="0" applyNumberFormat="1" applyFont="1" applyFill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176" fontId="14" fillId="0" borderId="0" xfId="0" applyNumberFormat="1" applyFont="1" applyFill="1" applyBorder="1" applyAlignment="1">
      <alignment horizontal="right" vertical="center"/>
    </xf>
    <xf numFmtId="176" fontId="8" fillId="0" borderId="0" xfId="0" applyNumberFormat="1" applyFont="1" applyFill="1" applyBorder="1" applyAlignment="1">
      <alignment horizontal="right" vertical="center"/>
    </xf>
    <xf numFmtId="176" fontId="5" fillId="2" borderId="0" xfId="0" applyNumberFormat="1" applyFont="1" applyFill="1" applyBorder="1" applyAlignment="1">
      <alignment horizontal="right"/>
    </xf>
    <xf numFmtId="0" fontId="22" fillId="0" borderId="0" xfId="0" applyFont="1" applyAlignment="1">
      <alignment horizontal="center" vertical="center"/>
    </xf>
    <xf numFmtId="0" fontId="14" fillId="6" borderId="5" xfId="0" applyNumberFormat="1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3" fillId="6" borderId="9" xfId="0" applyFont="1" applyFill="1" applyBorder="1" applyAlignment="1">
      <alignment horizontal="center" vertical="center"/>
    </xf>
    <xf numFmtId="0" fontId="14" fillId="6" borderId="10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6" borderId="12" xfId="0" applyFont="1" applyFill="1" applyBorder="1" applyAlignment="1">
      <alignment horizontal="center" vertical="center"/>
    </xf>
    <xf numFmtId="0" fontId="23" fillId="6" borderId="13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181" fontId="21" fillId="0" borderId="1" xfId="0" applyNumberFormat="1" applyFont="1" applyFill="1" applyBorder="1" applyAlignment="1">
      <alignment horizontal="center" vertical="center"/>
    </xf>
    <xf numFmtId="181" fontId="21" fillId="0" borderId="14" xfId="0" applyNumberFormat="1" applyFont="1" applyFill="1" applyBorder="1" applyAlignment="1">
      <alignment horizontal="center" vertical="center"/>
    </xf>
    <xf numFmtId="181" fontId="21" fillId="0" borderId="13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81" fontId="21" fillId="0" borderId="16" xfId="0" applyNumberFormat="1" applyFont="1" applyFill="1" applyBorder="1" applyAlignment="1">
      <alignment horizontal="center" vertical="center"/>
    </xf>
    <xf numFmtId="181" fontId="21" fillId="0" borderId="17" xfId="0" applyNumberFormat="1" applyFont="1" applyFill="1" applyBorder="1" applyAlignment="1">
      <alignment horizontal="center" vertical="center"/>
    </xf>
    <xf numFmtId="181" fontId="21" fillId="0" borderId="18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81" fontId="24" fillId="0" borderId="0" xfId="0" applyNumberFormat="1" applyFont="1" applyAlignment="1">
      <alignment horizontal="center" vertical="center"/>
    </xf>
    <xf numFmtId="181" fontId="21" fillId="0" borderId="0" xfId="0" applyNumberFormat="1" applyFont="1" applyFill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10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/>
    </xf>
    <xf numFmtId="181" fontId="21" fillId="0" borderId="22" xfId="0" applyNumberFormat="1" applyFont="1" applyFill="1" applyBorder="1" applyAlignment="1">
      <alignment horizontal="center" vertical="center"/>
    </xf>
    <xf numFmtId="181" fontId="21" fillId="0" borderId="10" xfId="0" applyNumberFormat="1" applyFont="1" applyFill="1" applyBorder="1" applyAlignment="1">
      <alignment horizontal="center" vertical="center"/>
    </xf>
    <xf numFmtId="181" fontId="21" fillId="0" borderId="23" xfId="0" applyNumberFormat="1" applyFont="1" applyFill="1" applyBorder="1" applyAlignment="1">
      <alignment horizontal="center" vertical="center"/>
    </xf>
    <xf numFmtId="181" fontId="21" fillId="0" borderId="15" xfId="0" applyNumberFormat="1" applyFont="1" applyFill="1" applyBorder="1" applyAlignment="1">
      <alignment horizontal="center" vertical="center"/>
    </xf>
    <xf numFmtId="179" fontId="21" fillId="0" borderId="1" xfId="0" applyNumberFormat="1" applyFont="1" applyFill="1" applyBorder="1" applyAlignment="1">
      <alignment horizontal="center" vertical="center"/>
    </xf>
    <xf numFmtId="179" fontId="21" fillId="0" borderId="22" xfId="0" applyNumberFormat="1" applyFont="1" applyFill="1" applyBorder="1" applyAlignment="1">
      <alignment horizontal="center" vertical="center"/>
    </xf>
    <xf numFmtId="179" fontId="21" fillId="0" borderId="10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179" fontId="21" fillId="0" borderId="16" xfId="0" applyNumberFormat="1" applyFont="1" applyFill="1" applyBorder="1" applyAlignment="1">
      <alignment horizontal="center" vertical="center"/>
    </xf>
    <xf numFmtId="179" fontId="21" fillId="0" borderId="23" xfId="0" applyNumberFormat="1" applyFont="1" applyFill="1" applyBorder="1" applyAlignment="1">
      <alignment horizontal="center" vertical="center"/>
    </xf>
    <xf numFmtId="179" fontId="21" fillId="0" borderId="15" xfId="0" applyNumberFormat="1" applyFont="1" applyFill="1" applyBorder="1" applyAlignment="1">
      <alignment horizontal="center" vertical="center"/>
    </xf>
    <xf numFmtId="0" fontId="23" fillId="6" borderId="24" xfId="0" applyFont="1" applyFill="1" applyBorder="1" applyAlignment="1">
      <alignment horizontal="center" vertical="center"/>
    </xf>
    <xf numFmtId="0" fontId="23" fillId="6" borderId="25" xfId="0" applyFont="1" applyFill="1" applyBorder="1" applyAlignment="1">
      <alignment horizontal="center" vertical="center"/>
    </xf>
    <xf numFmtId="10" fontId="21" fillId="0" borderId="1" xfId="0" applyNumberFormat="1" applyFont="1" applyFill="1" applyBorder="1" applyAlignment="1">
      <alignment horizontal="center" vertical="center"/>
    </xf>
    <xf numFmtId="10" fontId="21" fillId="0" borderId="22" xfId="0" applyNumberFormat="1" applyFont="1" applyFill="1" applyBorder="1" applyAlignment="1">
      <alignment horizontal="center" vertical="center"/>
    </xf>
    <xf numFmtId="10" fontId="21" fillId="0" borderId="10" xfId="0" applyNumberFormat="1" applyFont="1" applyFill="1" applyBorder="1" applyAlignment="1">
      <alignment horizontal="center" vertical="center"/>
    </xf>
    <xf numFmtId="10" fontId="21" fillId="0" borderId="25" xfId="0" applyNumberFormat="1" applyFont="1" applyFill="1" applyBorder="1" applyAlignment="1">
      <alignment horizontal="center" vertical="center"/>
    </xf>
    <xf numFmtId="10" fontId="21" fillId="0" borderId="16" xfId="0" applyNumberFormat="1" applyFont="1" applyFill="1" applyBorder="1" applyAlignment="1">
      <alignment horizontal="center" vertical="center"/>
    </xf>
    <xf numFmtId="10" fontId="21" fillId="0" borderId="23" xfId="0" applyNumberFormat="1" applyFont="1" applyFill="1" applyBorder="1" applyAlignment="1">
      <alignment horizontal="center" vertical="center"/>
    </xf>
    <xf numFmtId="10" fontId="21" fillId="0" borderId="15" xfId="0" applyNumberFormat="1" applyFont="1" applyFill="1" applyBorder="1" applyAlignment="1">
      <alignment horizontal="center" vertical="center"/>
    </xf>
    <xf numFmtId="10" fontId="21" fillId="0" borderId="26" xfId="0" applyNumberFormat="1" applyFont="1" applyFill="1" applyBorder="1" applyAlignment="1">
      <alignment horizontal="center" vertical="center"/>
    </xf>
    <xf numFmtId="10" fontId="21" fillId="0" borderId="14" xfId="0" applyNumberFormat="1" applyFont="1" applyFill="1" applyBorder="1" applyAlignment="1">
      <alignment horizontal="center" vertical="center"/>
    </xf>
    <xf numFmtId="9" fontId="21" fillId="0" borderId="1" xfId="0" applyNumberFormat="1" applyFont="1" applyFill="1" applyBorder="1" applyAlignment="1">
      <alignment horizontal="center" vertical="center"/>
    </xf>
    <xf numFmtId="10" fontId="21" fillId="0" borderId="17" xfId="0" applyNumberFormat="1" applyFont="1" applyFill="1" applyBorder="1" applyAlignment="1">
      <alignment horizontal="center" vertical="center"/>
    </xf>
    <xf numFmtId="179" fontId="21" fillId="0" borderId="14" xfId="0" applyNumberFormat="1" applyFont="1" applyFill="1" applyBorder="1" applyAlignment="1">
      <alignment horizontal="center" vertical="center"/>
    </xf>
    <xf numFmtId="179" fontId="21" fillId="0" borderId="17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 textRotation="255"/>
    </xf>
    <xf numFmtId="0" fontId="21" fillId="0" borderId="0" xfId="0" applyFont="1" applyFill="1" applyBorder="1" applyAlignment="1">
      <alignment horizontal="left" vertical="center"/>
    </xf>
    <xf numFmtId="10" fontId="13" fillId="0" borderId="0" xfId="0" applyNumberFormat="1" applyFont="1" applyFill="1" applyBorder="1" applyAlignment="1">
      <alignment vertical="center"/>
    </xf>
    <xf numFmtId="0" fontId="14" fillId="3" borderId="2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10" fontId="2" fillId="6" borderId="5" xfId="0" applyNumberFormat="1" applyFont="1" applyFill="1" applyBorder="1" applyAlignment="1">
      <alignment horizontal="center" vertical="center"/>
    </xf>
    <xf numFmtId="10" fontId="2" fillId="6" borderId="20" xfId="0" applyNumberFormat="1" applyFont="1" applyFill="1" applyBorder="1" applyAlignment="1">
      <alignment horizontal="center" vertical="center"/>
    </xf>
    <xf numFmtId="10" fontId="2" fillId="0" borderId="0" xfId="0" applyNumberFormat="1" applyFont="1" applyFill="1" applyBorder="1" applyAlignment="1">
      <alignment vertical="center"/>
    </xf>
    <xf numFmtId="0" fontId="14" fillId="3" borderId="1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0" fontId="2" fillId="6" borderId="10" xfId="0" applyNumberFormat="1" applyFont="1" applyFill="1" applyBorder="1" applyAlignment="1">
      <alignment horizontal="center" vertical="center"/>
    </xf>
    <xf numFmtId="10" fontId="2" fillId="6" borderId="14" xfId="0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 wrapText="1"/>
    </xf>
    <xf numFmtId="178" fontId="26" fillId="0" borderId="1" xfId="0" applyNumberFormat="1" applyFont="1" applyFill="1" applyBorder="1" applyAlignment="1">
      <alignment vertical="center"/>
    </xf>
    <xf numFmtId="178" fontId="27" fillId="0" borderId="1" xfId="0" applyNumberFormat="1" applyFont="1" applyFill="1" applyBorder="1" applyAlignment="1">
      <alignment vertical="center"/>
    </xf>
    <xf numFmtId="10" fontId="28" fillId="0" borderId="1" xfId="0" applyNumberFormat="1" applyFont="1" applyFill="1" applyBorder="1" applyAlignment="1">
      <alignment vertical="center"/>
    </xf>
    <xf numFmtId="0" fontId="25" fillId="0" borderId="28" xfId="0" applyFont="1" applyFill="1" applyBorder="1" applyAlignment="1">
      <alignment horizontal="center" vertical="center"/>
    </xf>
    <xf numFmtId="0" fontId="26" fillId="0" borderId="28" xfId="0" applyFont="1" applyFill="1" applyBorder="1" applyAlignment="1">
      <alignment horizontal="center" vertical="center"/>
    </xf>
    <xf numFmtId="10" fontId="13" fillId="0" borderId="1" xfId="0" applyNumberFormat="1" applyFont="1" applyFill="1" applyBorder="1" applyAlignment="1">
      <alignment vertical="center"/>
    </xf>
    <xf numFmtId="0" fontId="21" fillId="0" borderId="2" xfId="0" applyFont="1" applyFill="1" applyBorder="1" applyAlignment="1">
      <alignment horizontal="left" vertical="center" wrapText="1"/>
    </xf>
    <xf numFmtId="178" fontId="26" fillId="0" borderId="2" xfId="0" applyNumberFormat="1" applyFont="1" applyFill="1" applyBorder="1" applyAlignment="1">
      <alignment vertical="center"/>
    </xf>
    <xf numFmtId="180" fontId="26" fillId="0" borderId="2" xfId="0" applyNumberFormat="1" applyFont="1" applyFill="1" applyBorder="1" applyAlignment="1">
      <alignment vertical="center"/>
    </xf>
    <xf numFmtId="178" fontId="27" fillId="0" borderId="2" xfId="0" applyNumberFormat="1" applyFont="1" applyFill="1" applyBorder="1" applyAlignment="1">
      <alignment vertical="center"/>
    </xf>
    <xf numFmtId="10" fontId="13" fillId="0" borderId="2" xfId="0" applyNumberFormat="1" applyFont="1" applyFill="1" applyBorder="1" applyAlignment="1">
      <alignment vertical="center"/>
    </xf>
    <xf numFmtId="0" fontId="25" fillId="0" borderId="29" xfId="0" applyFont="1" applyFill="1" applyBorder="1" applyAlignment="1">
      <alignment horizontal="center" vertical="center"/>
    </xf>
    <xf numFmtId="0" fontId="26" fillId="0" borderId="30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left" vertical="center" wrapText="1"/>
    </xf>
    <xf numFmtId="178" fontId="26" fillId="0" borderId="6" xfId="0" applyNumberFormat="1" applyFont="1" applyFill="1" applyBorder="1" applyAlignment="1">
      <alignment vertical="center"/>
    </xf>
    <xf numFmtId="180" fontId="26" fillId="0" borderId="6" xfId="0" applyNumberFormat="1" applyFont="1" applyFill="1" applyBorder="1" applyAlignment="1">
      <alignment vertical="center"/>
    </xf>
    <xf numFmtId="178" fontId="27" fillId="0" borderId="6" xfId="0" applyNumberFormat="1" applyFont="1" applyFill="1" applyBorder="1" applyAlignment="1">
      <alignment vertical="center"/>
    </xf>
    <xf numFmtId="10" fontId="28" fillId="4" borderId="6" xfId="0" applyNumberFormat="1" applyFont="1" applyFill="1" applyBorder="1" applyAlignment="1">
      <alignment vertical="center"/>
    </xf>
    <xf numFmtId="10" fontId="28" fillId="4" borderId="20" xfId="0" applyNumberFormat="1" applyFont="1" applyFill="1" applyBorder="1" applyAlignment="1">
      <alignment vertical="center"/>
    </xf>
    <xf numFmtId="0" fontId="26" fillId="0" borderId="31" xfId="0" applyFont="1" applyFill="1" applyBorder="1" applyAlignment="1">
      <alignment horizontal="center" vertical="center"/>
    </xf>
    <xf numFmtId="180" fontId="26" fillId="0" borderId="1" xfId="0" applyNumberFormat="1" applyFont="1" applyFill="1" applyBorder="1" applyAlignment="1">
      <alignment vertical="center"/>
    </xf>
    <xf numFmtId="10" fontId="13" fillId="0" borderId="1" xfId="0" applyNumberFormat="1" applyFont="1" applyFill="1" applyBorder="1" applyAlignment="1">
      <alignment vertical="center"/>
    </xf>
    <xf numFmtId="10" fontId="28" fillId="4" borderId="14" xfId="0" applyNumberFormat="1" applyFont="1" applyFill="1" applyBorder="1" applyAlignment="1">
      <alignment vertical="center"/>
    </xf>
    <xf numFmtId="10" fontId="13" fillId="0" borderId="14" xfId="0" applyNumberFormat="1" applyFont="1" applyFill="1" applyBorder="1" applyAlignment="1">
      <alignment vertical="center"/>
    </xf>
    <xf numFmtId="10" fontId="3" fillId="0" borderId="0" xfId="0" applyNumberFormat="1" applyFont="1" applyFill="1" applyBorder="1" applyAlignment="1">
      <alignment vertical="center"/>
    </xf>
    <xf numFmtId="0" fontId="29" fillId="4" borderId="1" xfId="0" applyFont="1" applyFill="1" applyBorder="1" applyAlignment="1">
      <alignment horizontal="left" vertical="center" wrapText="1"/>
    </xf>
    <xf numFmtId="0" fontId="26" fillId="0" borderId="32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left" vertical="center" wrapText="1"/>
    </xf>
    <xf numFmtId="178" fontId="26" fillId="0" borderId="16" xfId="0" applyNumberFormat="1" applyFont="1" applyFill="1" applyBorder="1" applyAlignment="1">
      <alignment vertical="center"/>
    </xf>
    <xf numFmtId="180" fontId="26" fillId="0" borderId="16" xfId="0" applyNumberFormat="1" applyFont="1" applyFill="1" applyBorder="1" applyAlignment="1">
      <alignment vertical="center"/>
    </xf>
    <xf numFmtId="178" fontId="27" fillId="0" borderId="16" xfId="0" applyNumberFormat="1" applyFont="1" applyFill="1" applyBorder="1" applyAlignment="1">
      <alignment vertical="center"/>
    </xf>
    <xf numFmtId="10" fontId="13" fillId="0" borderId="16" xfId="0" applyNumberFormat="1" applyFont="1" applyFill="1" applyBorder="1" applyAlignment="1">
      <alignment vertical="center"/>
    </xf>
    <xf numFmtId="10" fontId="13" fillId="0" borderId="17" xfId="0" applyNumberFormat="1" applyFont="1" applyFill="1" applyBorder="1" applyAlignment="1">
      <alignment vertical="center"/>
    </xf>
    <xf numFmtId="0" fontId="26" fillId="0" borderId="30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left" vertical="center" wrapText="1"/>
    </xf>
    <xf numFmtId="10" fontId="30" fillId="4" borderId="6" xfId="0" applyNumberFormat="1" applyFont="1" applyFill="1" applyBorder="1" applyAlignment="1">
      <alignment vertical="center"/>
    </xf>
    <xf numFmtId="10" fontId="30" fillId="4" borderId="20" xfId="0" applyNumberFormat="1" applyFont="1" applyFill="1" applyBorder="1" applyAlignment="1">
      <alignment vertical="center"/>
    </xf>
    <xf numFmtId="0" fontId="26" fillId="0" borderId="31" xfId="0" applyFont="1" applyFill="1" applyBorder="1" applyAlignment="1">
      <alignment horizontal="center" vertical="center" wrapText="1"/>
    </xf>
    <xf numFmtId="10" fontId="30" fillId="0" borderId="1" xfId="0" applyNumberFormat="1" applyFont="1" applyFill="1" applyBorder="1" applyAlignment="1">
      <alignment vertical="center"/>
    </xf>
    <xf numFmtId="10" fontId="30" fillId="0" borderId="14" xfId="0" applyNumberFormat="1" applyFont="1" applyFill="1" applyBorder="1" applyAlignment="1">
      <alignment vertical="center"/>
    </xf>
    <xf numFmtId="10" fontId="28" fillId="0" borderId="14" xfId="0" applyNumberFormat="1" applyFont="1" applyFill="1" applyBorder="1" applyAlignment="1">
      <alignment vertical="center"/>
    </xf>
    <xf numFmtId="0" fontId="29" fillId="0" borderId="1" xfId="0" applyFont="1" applyFill="1" applyBorder="1" applyAlignment="1">
      <alignment horizontal="left" vertical="center" wrapText="1"/>
    </xf>
    <xf numFmtId="10" fontId="30" fillId="0" borderId="2" xfId="0" applyNumberFormat="1" applyFont="1" applyFill="1" applyBorder="1" applyAlignment="1">
      <alignment vertical="center"/>
    </xf>
    <xf numFmtId="10" fontId="30" fillId="0" borderId="33" xfId="0" applyNumberFormat="1" applyFont="1" applyFill="1" applyBorder="1" applyAlignment="1">
      <alignment vertical="center"/>
    </xf>
    <xf numFmtId="0" fontId="29" fillId="0" borderId="6" xfId="0" applyFont="1" applyFill="1" applyBorder="1" applyAlignment="1">
      <alignment horizontal="left" vertical="center" wrapText="1"/>
    </xf>
    <xf numFmtId="10" fontId="30" fillId="0" borderId="6" xfId="0" applyNumberFormat="1" applyFont="1" applyFill="1" applyBorder="1" applyAlignment="1">
      <alignment vertical="center"/>
    </xf>
    <xf numFmtId="10" fontId="28" fillId="0" borderId="20" xfId="0" applyNumberFormat="1" applyFont="1" applyFill="1" applyBorder="1" applyAlignment="1">
      <alignment vertical="center"/>
    </xf>
    <xf numFmtId="10" fontId="30" fillId="0" borderId="1" xfId="0" applyNumberFormat="1" applyFont="1" applyFill="1" applyBorder="1" applyAlignment="1">
      <alignment vertical="center"/>
    </xf>
    <xf numFmtId="10" fontId="30" fillId="0" borderId="14" xfId="0" applyNumberFormat="1" applyFont="1" applyFill="1" applyBorder="1" applyAlignment="1">
      <alignment vertical="center"/>
    </xf>
    <xf numFmtId="10" fontId="28" fillId="0" borderId="14" xfId="0" applyNumberFormat="1" applyFont="1" applyFill="1" applyBorder="1" applyAlignment="1">
      <alignment vertical="center"/>
    </xf>
    <xf numFmtId="10" fontId="30" fillId="0" borderId="2" xfId="0" applyNumberFormat="1" applyFont="1" applyFill="1" applyBorder="1" applyAlignment="1">
      <alignment vertical="center"/>
    </xf>
    <xf numFmtId="10" fontId="30" fillId="0" borderId="33" xfId="0" applyNumberFormat="1" applyFont="1" applyFill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10" fontId="30" fillId="0" borderId="16" xfId="0" applyNumberFormat="1" applyFont="1" applyFill="1" applyBorder="1" applyAlignment="1">
      <alignment vertical="center"/>
    </xf>
    <xf numFmtId="10" fontId="30" fillId="0" borderId="17" xfId="0" applyNumberFormat="1" applyFont="1" applyFill="1" applyBorder="1" applyAlignment="1">
      <alignment vertical="center"/>
    </xf>
    <xf numFmtId="0" fontId="21" fillId="0" borderId="11" xfId="0" applyFont="1" applyFill="1" applyBorder="1" applyAlignment="1">
      <alignment horizontal="left" vertical="center" wrapText="1"/>
    </xf>
    <xf numFmtId="178" fontId="26" fillId="0" borderId="11" xfId="0" applyNumberFormat="1" applyFont="1" applyFill="1" applyBorder="1" applyAlignment="1">
      <alignment vertical="center"/>
    </xf>
    <xf numFmtId="180" fontId="26" fillId="0" borderId="11" xfId="0" applyNumberFormat="1" applyFont="1" applyFill="1" applyBorder="1" applyAlignment="1">
      <alignment vertical="center"/>
    </xf>
    <xf numFmtId="178" fontId="27" fillId="0" borderId="11" xfId="0" applyNumberFormat="1" applyFont="1" applyFill="1" applyBorder="1" applyAlignment="1">
      <alignment vertical="center"/>
    </xf>
    <xf numFmtId="10" fontId="13" fillId="0" borderId="11" xfId="0" applyNumberFormat="1" applyFont="1" applyFill="1" applyBorder="1" applyAlignment="1">
      <alignment vertical="center"/>
    </xf>
    <xf numFmtId="0" fontId="26" fillId="0" borderId="1" xfId="0" applyFont="1" applyFill="1" applyBorder="1" applyAlignment="1">
      <alignment horizontal="left" vertical="center"/>
    </xf>
    <xf numFmtId="0" fontId="26" fillId="0" borderId="2" xfId="0" applyFont="1" applyFill="1" applyBorder="1" applyAlignment="1">
      <alignment horizontal="center" vertical="center" wrapText="1"/>
    </xf>
    <xf numFmtId="0" fontId="26" fillId="0" borderId="28" xfId="0" applyFont="1" applyFill="1" applyBorder="1" applyAlignment="1">
      <alignment horizontal="center" vertical="center" wrapText="1"/>
    </xf>
    <xf numFmtId="179" fontId="26" fillId="0" borderId="1" xfId="0" applyNumberFormat="1" applyFont="1" applyFill="1" applyBorder="1" applyAlignment="1">
      <alignment vertical="center"/>
    </xf>
    <xf numFmtId="0" fontId="26" fillId="0" borderId="1" xfId="0" applyFont="1" applyFill="1" applyBorder="1" applyAlignment="1">
      <alignment vertical="center"/>
    </xf>
    <xf numFmtId="0" fontId="25" fillId="0" borderId="28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vertical="center" textRotation="255"/>
    </xf>
    <xf numFmtId="0" fontId="27" fillId="0" borderId="1" xfId="0" applyFont="1" applyFill="1" applyBorder="1" applyAlignment="1">
      <alignment horizontal="left" vertical="center"/>
    </xf>
    <xf numFmtId="178" fontId="27" fillId="0" borderId="1" xfId="0" applyNumberFormat="1" applyFont="1" applyFill="1" applyBorder="1" applyAlignment="1">
      <alignment horizontal="right" vertical="center"/>
    </xf>
    <xf numFmtId="10" fontId="8" fillId="0" borderId="0" xfId="0" applyNumberFormat="1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0" fontId="2" fillId="6" borderId="6" xfId="0" applyNumberFormat="1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10" fontId="2" fillId="6" borderId="16" xfId="0" applyNumberFormat="1" applyFont="1" applyFill="1" applyBorder="1" applyAlignment="1">
      <alignment horizontal="center" vertical="center"/>
    </xf>
    <xf numFmtId="10" fontId="2" fillId="6" borderId="17" xfId="0" applyNumberFormat="1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left" vertical="center" wrapText="1"/>
    </xf>
    <xf numFmtId="10" fontId="28" fillId="0" borderId="1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10" fontId="28" fillId="0" borderId="2" xfId="0" applyNumberFormat="1" applyFont="1" applyFill="1" applyBorder="1" applyAlignment="1">
      <alignment vertical="center"/>
    </xf>
    <xf numFmtId="0" fontId="7" fillId="0" borderId="6" xfId="0" applyFont="1" applyFill="1" applyBorder="1" applyAlignment="1">
      <alignment horizontal="left" vertical="center" wrapText="1"/>
    </xf>
    <xf numFmtId="10" fontId="28" fillId="0" borderId="6" xfId="0" applyNumberFormat="1" applyFont="1" applyFill="1" applyBorder="1" applyAlignment="1">
      <alignment vertical="center"/>
    </xf>
    <xf numFmtId="10" fontId="13" fillId="0" borderId="20" xfId="0" applyNumberFormat="1" applyFont="1" applyFill="1" applyBorder="1" applyAlignment="1">
      <alignment vertical="center"/>
    </xf>
    <xf numFmtId="10" fontId="28" fillId="0" borderId="1" xfId="0" applyNumberFormat="1" applyFont="1" applyFill="1" applyBorder="1" applyAlignment="1">
      <alignment vertical="center"/>
    </xf>
    <xf numFmtId="0" fontId="7" fillId="0" borderId="16" xfId="0" applyFont="1" applyFill="1" applyBorder="1" applyAlignment="1">
      <alignment horizontal="left" vertical="center" wrapText="1"/>
    </xf>
    <xf numFmtId="0" fontId="26" fillId="0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left" vertical="center" wrapText="1"/>
    </xf>
    <xf numFmtId="10" fontId="28" fillId="0" borderId="6" xfId="0" applyNumberFormat="1" applyFont="1" applyFill="1" applyBorder="1" applyAlignment="1">
      <alignment vertical="center"/>
    </xf>
    <xf numFmtId="10" fontId="28" fillId="0" borderId="20" xfId="0" applyNumberFormat="1" applyFont="1" applyFill="1" applyBorder="1" applyAlignment="1">
      <alignment vertical="center"/>
    </xf>
    <xf numFmtId="0" fontId="26" fillId="0" borderId="10" xfId="0" applyFont="1" applyFill="1" applyBorder="1" applyAlignment="1">
      <alignment horizontal="center" vertical="center" wrapText="1"/>
    </xf>
    <xf numFmtId="10" fontId="13" fillId="0" borderId="14" xfId="0" applyNumberFormat="1" applyFont="1" applyFill="1" applyBorder="1" applyAlignment="1">
      <alignment vertical="center"/>
    </xf>
    <xf numFmtId="0" fontId="10" fillId="4" borderId="1" xfId="0" applyFont="1" applyFill="1" applyBorder="1" applyAlignment="1">
      <alignment horizontal="left" vertical="center" wrapText="1"/>
    </xf>
    <xf numFmtId="0" fontId="26" fillId="0" borderId="15" xfId="0" applyFont="1" applyFill="1" applyBorder="1" applyAlignment="1">
      <alignment horizontal="center" vertical="center" wrapText="1"/>
    </xf>
    <xf numFmtId="10" fontId="13" fillId="0" borderId="16" xfId="0" applyNumberFormat="1" applyFont="1" applyFill="1" applyBorder="1" applyAlignment="1">
      <alignment vertical="center"/>
    </xf>
    <xf numFmtId="10" fontId="13" fillId="0" borderId="17" xfId="0" applyNumberFormat="1" applyFont="1" applyFill="1" applyBorder="1" applyAlignment="1">
      <alignment vertical="center"/>
    </xf>
    <xf numFmtId="0" fontId="10" fillId="0" borderId="6" xfId="0" applyFont="1" applyFill="1" applyBorder="1" applyAlignment="1">
      <alignment horizontal="left" vertical="center" wrapText="1"/>
    </xf>
    <xf numFmtId="10" fontId="13" fillId="0" borderId="12" xfId="0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 wrapText="1"/>
    </xf>
    <xf numFmtId="10" fontId="28" fillId="0" borderId="11" xfId="0" applyNumberFormat="1" applyFont="1" applyFill="1" applyBorder="1" applyAlignment="1">
      <alignment vertical="center"/>
    </xf>
    <xf numFmtId="10" fontId="28" fillId="0" borderId="12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 wrapText="1"/>
    </xf>
    <xf numFmtId="10" fontId="13" fillId="4" borderId="12" xfId="0" applyNumberFormat="1" applyFont="1" applyFill="1" applyBorder="1" applyAlignment="1">
      <alignment vertical="center"/>
    </xf>
    <xf numFmtId="10" fontId="13" fillId="0" borderId="34" xfId="0" applyNumberFormat="1" applyFont="1" applyFill="1" applyBorder="1" applyAlignment="1">
      <alignment vertical="center"/>
    </xf>
    <xf numFmtId="10" fontId="13" fillId="0" borderId="35" xfId="0" applyNumberFormat="1" applyFont="1" applyFill="1" applyBorder="1" applyAlignment="1">
      <alignment vertical="center"/>
    </xf>
    <xf numFmtId="178" fontId="26" fillId="0" borderId="0" xfId="0" applyNumberFormat="1" applyFont="1" applyFill="1" applyBorder="1" applyAlignment="1">
      <alignment vertical="center"/>
    </xf>
    <xf numFmtId="181" fontId="26" fillId="0" borderId="1" xfId="0" applyNumberFormat="1" applyFont="1" applyFill="1" applyBorder="1" applyAlignment="1">
      <alignment vertical="center"/>
    </xf>
    <xf numFmtId="0" fontId="25" fillId="0" borderId="28" xfId="0" applyFont="1" applyFill="1" applyBorder="1" applyAlignment="1">
      <alignment vertical="center"/>
    </xf>
    <xf numFmtId="10" fontId="8" fillId="0" borderId="1" xfId="0" applyNumberFormat="1" applyFont="1" applyFill="1" applyBorder="1" applyAlignment="1">
      <alignment vertical="center"/>
    </xf>
    <xf numFmtId="180" fontId="13" fillId="0" borderId="0" xfId="0" applyNumberFormat="1" applyFont="1" applyFill="1" applyBorder="1" applyAlignment="1">
      <alignment vertical="center"/>
    </xf>
    <xf numFmtId="0" fontId="14" fillId="3" borderId="36" xfId="0" applyFont="1" applyFill="1" applyBorder="1" applyAlignment="1">
      <alignment horizontal="center" vertical="center"/>
    </xf>
    <xf numFmtId="0" fontId="14" fillId="3" borderId="30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180" fontId="23" fillId="7" borderId="6" xfId="0" applyNumberFormat="1" applyFont="1" applyFill="1" applyBorder="1" applyAlignment="1">
      <alignment vertical="center"/>
    </xf>
    <xf numFmtId="0" fontId="23" fillId="7" borderId="37" xfId="0" applyFont="1" applyFill="1" applyBorder="1" applyAlignment="1">
      <alignment vertical="center"/>
    </xf>
    <xf numFmtId="0" fontId="14" fillId="3" borderId="21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180" fontId="23" fillId="7" borderId="1" xfId="0" applyNumberFormat="1" applyFont="1" applyFill="1" applyBorder="1" applyAlignment="1">
      <alignment vertical="center"/>
    </xf>
    <xf numFmtId="0" fontId="23" fillId="7" borderId="22" xfId="0" applyFont="1" applyFill="1" applyBorder="1" applyAlignment="1">
      <alignment vertical="center"/>
    </xf>
    <xf numFmtId="0" fontId="25" fillId="0" borderId="36" xfId="0" applyFont="1" applyFill="1" applyBorder="1" applyAlignment="1">
      <alignment horizontal="center" vertical="center"/>
    </xf>
    <xf numFmtId="0" fontId="26" fillId="0" borderId="40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 wrapText="1"/>
    </xf>
    <xf numFmtId="182" fontId="7" fillId="0" borderId="1" xfId="0" applyNumberFormat="1" applyFont="1" applyFill="1" applyBorder="1" applyAlignment="1">
      <alignment horizontal="right" vertical="center" wrapText="1"/>
    </xf>
    <xf numFmtId="180" fontId="27" fillId="0" borderId="1" xfId="0" applyNumberFormat="1" applyFont="1" applyFill="1" applyBorder="1" applyAlignment="1">
      <alignment vertical="center"/>
    </xf>
    <xf numFmtId="180" fontId="14" fillId="0" borderId="1" xfId="0" applyNumberFormat="1" applyFont="1" applyFill="1" applyBorder="1" applyAlignment="1">
      <alignment vertical="center"/>
    </xf>
    <xf numFmtId="180" fontId="14" fillId="0" borderId="22" xfId="0" applyNumberFormat="1" applyFont="1" applyFill="1" applyBorder="1" applyAlignment="1">
      <alignment vertical="center"/>
    </xf>
    <xf numFmtId="10" fontId="28" fillId="0" borderId="10" xfId="0" applyNumberFormat="1" applyFont="1" applyFill="1" applyBorder="1" applyAlignment="1">
      <alignment vertical="center"/>
    </xf>
    <xf numFmtId="180" fontId="19" fillId="4" borderId="22" xfId="0" applyNumberFormat="1" applyFont="1" applyFill="1" applyBorder="1" applyAlignment="1">
      <alignment vertical="center"/>
    </xf>
    <xf numFmtId="10" fontId="28" fillId="4" borderId="10" xfId="0" applyNumberFormat="1" applyFont="1" applyFill="1" applyBorder="1" applyAlignment="1">
      <alignment vertical="center"/>
    </xf>
    <xf numFmtId="10" fontId="13" fillId="0" borderId="10" xfId="0" applyNumberFormat="1" applyFont="1" applyFill="1" applyBorder="1" applyAlignment="1">
      <alignment vertical="center"/>
    </xf>
    <xf numFmtId="10" fontId="28" fillId="0" borderId="10" xfId="0" applyNumberFormat="1" applyFont="1" applyFill="1" applyBorder="1" applyAlignment="1">
      <alignment vertical="center"/>
    </xf>
    <xf numFmtId="0" fontId="21" fillId="0" borderId="16" xfId="0" applyFont="1" applyFill="1" applyBorder="1" applyAlignment="1">
      <alignment horizontal="left" vertical="center" wrapText="1"/>
    </xf>
    <xf numFmtId="182" fontId="7" fillId="0" borderId="16" xfId="0" applyNumberFormat="1" applyFont="1" applyFill="1" applyBorder="1" applyAlignment="1">
      <alignment horizontal="right" vertical="center" wrapText="1"/>
    </xf>
    <xf numFmtId="177" fontId="7" fillId="0" borderId="16" xfId="0" applyNumberFormat="1" applyFont="1" applyFill="1" applyBorder="1" applyAlignment="1">
      <alignment horizontal="right" vertical="center" wrapText="1"/>
    </xf>
    <xf numFmtId="180" fontId="27" fillId="0" borderId="16" xfId="0" applyNumberFormat="1" applyFont="1" applyFill="1" applyBorder="1" applyAlignment="1">
      <alignment vertical="center"/>
    </xf>
    <xf numFmtId="180" fontId="14" fillId="0" borderId="16" xfId="0" applyNumberFormat="1" applyFont="1" applyFill="1" applyBorder="1" applyAlignment="1">
      <alignment vertical="center"/>
    </xf>
    <xf numFmtId="180" fontId="14" fillId="0" borderId="23" xfId="0" applyNumberFormat="1" applyFont="1" applyFill="1" applyBorder="1" applyAlignment="1">
      <alignment vertical="center"/>
    </xf>
    <xf numFmtId="10" fontId="28" fillId="4" borderId="40" xfId="0" applyNumberFormat="1" applyFont="1" applyFill="1" applyBorder="1" applyAlignment="1">
      <alignment vertical="center"/>
    </xf>
    <xf numFmtId="10" fontId="28" fillId="4" borderId="33" xfId="0" applyNumberFormat="1" applyFont="1" applyFill="1" applyBorder="1" applyAlignment="1">
      <alignment vertical="center"/>
    </xf>
    <xf numFmtId="182" fontId="7" fillId="0" borderId="6" xfId="0" applyNumberFormat="1" applyFont="1" applyFill="1" applyBorder="1" applyAlignment="1">
      <alignment horizontal="right" vertical="center" wrapText="1"/>
    </xf>
    <xf numFmtId="177" fontId="7" fillId="0" borderId="6" xfId="0" applyNumberFormat="1" applyFont="1" applyFill="1" applyBorder="1" applyAlignment="1">
      <alignment horizontal="right" vertical="center" wrapText="1"/>
    </xf>
    <xf numFmtId="0" fontId="0" fillId="0" borderId="6" xfId="0" applyFill="1" applyBorder="1" applyAlignment="1">
      <alignment vertical="center"/>
    </xf>
    <xf numFmtId="180" fontId="27" fillId="0" borderId="6" xfId="0" applyNumberFormat="1" applyFont="1" applyFill="1" applyBorder="1" applyAlignment="1">
      <alignment vertical="center"/>
    </xf>
    <xf numFmtId="180" fontId="14" fillId="0" borderId="6" xfId="0" applyNumberFormat="1" applyFont="1" applyFill="1" applyBorder="1" applyAlignment="1">
      <alignment vertical="center"/>
    </xf>
    <xf numFmtId="180" fontId="14" fillId="0" borderId="37" xfId="0" applyNumberFormat="1" applyFont="1" applyFill="1" applyBorder="1" applyAlignment="1">
      <alignment vertical="center"/>
    </xf>
    <xf numFmtId="10" fontId="28" fillId="0" borderId="5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77" fontId="31" fillId="0" borderId="1" xfId="0" applyNumberFormat="1" applyFont="1" applyFill="1" applyBorder="1" applyAlignment="1">
      <alignment horizontal="right" vertical="center" wrapText="1"/>
    </xf>
    <xf numFmtId="178" fontId="26" fillId="0" borderId="22" xfId="0" applyNumberFormat="1" applyFont="1" applyFill="1" applyBorder="1" applyAlignment="1">
      <alignment vertical="center"/>
    </xf>
    <xf numFmtId="177" fontId="7" fillId="0" borderId="22" xfId="0" applyNumberFormat="1" applyFont="1" applyFill="1" applyBorder="1" applyAlignment="1">
      <alignment horizontal="right" vertical="center" wrapText="1"/>
    </xf>
    <xf numFmtId="179" fontId="7" fillId="0" borderId="16" xfId="0" applyNumberFormat="1" applyFont="1" applyFill="1" applyBorder="1" applyAlignment="1">
      <alignment horizontal="right" vertical="center" wrapText="1"/>
    </xf>
    <xf numFmtId="179" fontId="7" fillId="0" borderId="23" xfId="0" applyNumberFormat="1" applyFont="1" applyFill="1" applyBorder="1" applyAlignment="1">
      <alignment horizontal="right" vertical="center" wrapText="1"/>
    </xf>
    <xf numFmtId="0" fontId="0" fillId="0" borderId="16" xfId="0" applyFill="1" applyBorder="1" applyAlignment="1">
      <alignment vertical="center"/>
    </xf>
    <xf numFmtId="180" fontId="14" fillId="0" borderId="23" xfId="0" applyNumberFormat="1" applyFont="1" applyFill="1" applyBorder="1" applyAlignment="1">
      <alignment vertical="center"/>
    </xf>
    <xf numFmtId="10" fontId="13" fillId="0" borderId="15" xfId="0" applyNumberFormat="1" applyFont="1" applyFill="1" applyBorder="1" applyAlignment="1">
      <alignment vertical="center"/>
    </xf>
    <xf numFmtId="0" fontId="29" fillId="4" borderId="6" xfId="0" applyFont="1" applyFill="1" applyBorder="1" applyAlignment="1">
      <alignment horizontal="left" vertical="center" wrapText="1"/>
    </xf>
    <xf numFmtId="179" fontId="7" fillId="0" borderId="6" xfId="0" applyNumberFormat="1" applyFont="1" applyFill="1" applyBorder="1" applyAlignment="1">
      <alignment horizontal="right" vertical="center" wrapText="1"/>
    </xf>
    <xf numFmtId="10" fontId="28" fillId="4" borderId="39" xfId="0" applyNumberFormat="1" applyFont="1" applyFill="1" applyBorder="1" applyAlignment="1">
      <alignment vertical="center"/>
    </xf>
    <xf numFmtId="10" fontId="28" fillId="4" borderId="12" xfId="0" applyNumberFormat="1" applyFont="1" applyFill="1" applyBorder="1" applyAlignment="1">
      <alignment vertical="center"/>
    </xf>
    <xf numFmtId="179" fontId="7" fillId="0" borderId="1" xfId="0" applyNumberFormat="1" applyFont="1" applyFill="1" applyBorder="1" applyAlignment="1">
      <alignment horizontal="right" vertical="center" wrapText="1"/>
    </xf>
    <xf numFmtId="10" fontId="13" fillId="0" borderId="39" xfId="0" applyNumberFormat="1" applyFont="1" applyFill="1" applyBorder="1" applyAlignment="1">
      <alignment vertical="center"/>
    </xf>
    <xf numFmtId="10" fontId="28" fillId="0" borderId="39" xfId="0" applyNumberFormat="1" applyFont="1" applyFill="1" applyBorder="1" applyAlignment="1">
      <alignment vertical="center"/>
    </xf>
    <xf numFmtId="179" fontId="26" fillId="0" borderId="1" xfId="0" applyNumberFormat="1" applyFont="1" applyFill="1" applyBorder="1" applyAlignment="1">
      <alignment horizontal="right" vertical="center"/>
    </xf>
    <xf numFmtId="179" fontId="26" fillId="0" borderId="22" xfId="0" applyNumberFormat="1" applyFont="1" applyFill="1" applyBorder="1" applyAlignment="1">
      <alignment horizontal="right" vertical="center"/>
    </xf>
    <xf numFmtId="179" fontId="7" fillId="0" borderId="22" xfId="0" applyNumberFormat="1" applyFont="1" applyFill="1" applyBorder="1" applyAlignment="1">
      <alignment horizontal="right" vertical="center" wrapText="1"/>
    </xf>
    <xf numFmtId="0" fontId="26" fillId="0" borderId="32" xfId="0" applyFont="1" applyFill="1" applyBorder="1" applyAlignment="1">
      <alignment horizontal="center" vertical="center" wrapText="1"/>
    </xf>
    <xf numFmtId="0" fontId="29" fillId="4" borderId="16" xfId="0" applyFont="1" applyFill="1" applyBorder="1" applyAlignment="1">
      <alignment horizontal="left" vertical="center" wrapText="1"/>
    </xf>
    <xf numFmtId="177" fontId="7" fillId="0" borderId="23" xfId="0" applyNumberFormat="1" applyFont="1" applyFill="1" applyBorder="1" applyAlignment="1">
      <alignment horizontal="right" vertical="center" wrapText="1"/>
    </xf>
    <xf numFmtId="180" fontId="19" fillId="4" borderId="23" xfId="0" applyNumberFormat="1" applyFont="1" applyFill="1" applyBorder="1" applyAlignment="1">
      <alignment vertical="center"/>
    </xf>
    <xf numFmtId="10" fontId="13" fillId="0" borderId="31" xfId="0" applyNumberFormat="1" applyFont="1" applyFill="1" applyBorder="1" applyAlignment="1">
      <alignment vertical="center"/>
    </xf>
    <xf numFmtId="10" fontId="13" fillId="0" borderId="41" xfId="0" applyNumberFormat="1" applyFont="1" applyFill="1" applyBorder="1" applyAlignment="1">
      <alignment vertical="center"/>
    </xf>
    <xf numFmtId="182" fontId="7" fillId="0" borderId="11" xfId="0" applyNumberFormat="1" applyFont="1" applyFill="1" applyBorder="1" applyAlignment="1">
      <alignment horizontal="right" vertical="center" wrapText="1"/>
    </xf>
    <xf numFmtId="177" fontId="7" fillId="0" borderId="11" xfId="0" applyNumberFormat="1" applyFont="1" applyFill="1" applyBorder="1" applyAlignment="1">
      <alignment horizontal="right" vertical="center" wrapText="1"/>
    </xf>
    <xf numFmtId="0" fontId="0" fillId="0" borderId="11" xfId="0" applyFill="1" applyBorder="1" applyAlignment="1">
      <alignment vertical="center"/>
    </xf>
    <xf numFmtId="180" fontId="27" fillId="0" borderId="11" xfId="0" applyNumberFormat="1" applyFont="1" applyFill="1" applyBorder="1" applyAlignment="1">
      <alignment vertical="center"/>
    </xf>
    <xf numFmtId="180" fontId="14" fillId="0" borderId="11" xfId="0" applyNumberFormat="1" applyFont="1" applyFill="1" applyBorder="1" applyAlignment="1">
      <alignment vertical="center"/>
    </xf>
    <xf numFmtId="180" fontId="14" fillId="0" borderId="21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13" fillId="0" borderId="16" xfId="0" applyFont="1" applyFill="1" applyBorder="1" applyAlignment="1">
      <alignment vertical="center"/>
    </xf>
    <xf numFmtId="0" fontId="13" fillId="0" borderId="6" xfId="0" applyFont="1" applyFill="1" applyBorder="1" applyAlignment="1">
      <alignment vertical="center"/>
    </xf>
    <xf numFmtId="180" fontId="19" fillId="4" borderId="37" xfId="0" applyNumberFormat="1" applyFont="1" applyFill="1" applyBorder="1" applyAlignment="1">
      <alignment vertical="center"/>
    </xf>
    <xf numFmtId="10" fontId="28" fillId="4" borderId="0" xfId="0" applyNumberFormat="1" applyFont="1" applyFill="1" applyBorder="1" applyAlignment="1">
      <alignment vertical="center"/>
    </xf>
    <xf numFmtId="178" fontId="26" fillId="2" borderId="1" xfId="0" applyNumberFormat="1" applyFont="1" applyFill="1" applyBorder="1" applyAlignment="1">
      <alignment vertical="center"/>
    </xf>
    <xf numFmtId="178" fontId="26" fillId="2" borderId="16" xfId="0" applyNumberFormat="1" applyFont="1" applyFill="1" applyBorder="1" applyAlignment="1">
      <alignment vertical="center"/>
    </xf>
    <xf numFmtId="179" fontId="26" fillId="0" borderId="16" xfId="0" applyNumberFormat="1" applyFont="1" applyFill="1" applyBorder="1" applyAlignment="1">
      <alignment vertical="center"/>
    </xf>
    <xf numFmtId="179" fontId="26" fillId="0" borderId="23" xfId="0" applyNumberFormat="1" applyFont="1" applyFill="1" applyBorder="1" applyAlignment="1">
      <alignment vertical="center"/>
    </xf>
    <xf numFmtId="182" fontId="26" fillId="0" borderId="16" xfId="0" applyNumberFormat="1" applyFont="1" applyFill="1" applyBorder="1" applyAlignment="1">
      <alignment vertical="center"/>
    </xf>
    <xf numFmtId="177" fontId="26" fillId="0" borderId="16" xfId="0" applyNumberFormat="1" applyFont="1" applyFill="1" applyBorder="1" applyAlignment="1">
      <alignment vertical="center"/>
    </xf>
    <xf numFmtId="178" fontId="26" fillId="2" borderId="6" xfId="0" applyNumberFormat="1" applyFont="1" applyFill="1" applyBorder="1" applyAlignment="1">
      <alignment vertical="center"/>
    </xf>
    <xf numFmtId="179" fontId="26" fillId="0" borderId="6" xfId="0" applyNumberFormat="1" applyFont="1" applyFill="1" applyBorder="1" applyAlignment="1">
      <alignment vertical="center"/>
    </xf>
    <xf numFmtId="179" fontId="26" fillId="0" borderId="37" xfId="0" applyNumberFormat="1" applyFont="1" applyFill="1" applyBorder="1" applyAlignment="1">
      <alignment vertical="center"/>
    </xf>
    <xf numFmtId="10" fontId="13" fillId="0" borderId="5" xfId="0" applyNumberFormat="1" applyFont="1" applyFill="1" applyBorder="1" applyAlignment="1">
      <alignment vertical="center"/>
    </xf>
    <xf numFmtId="179" fontId="26" fillId="0" borderId="22" xfId="0" applyNumberFormat="1" applyFont="1" applyFill="1" applyBorder="1" applyAlignment="1">
      <alignment vertical="center"/>
    </xf>
    <xf numFmtId="179" fontId="26" fillId="2" borderId="1" xfId="0" applyNumberFormat="1" applyFont="1" applyFill="1" applyBorder="1" applyAlignment="1">
      <alignment vertical="center"/>
    </xf>
    <xf numFmtId="179" fontId="26" fillId="2" borderId="22" xfId="0" applyNumberFormat="1" applyFont="1" applyFill="1" applyBorder="1" applyAlignment="1">
      <alignment vertical="center"/>
    </xf>
    <xf numFmtId="0" fontId="26" fillId="0" borderId="16" xfId="0" applyFont="1" applyFill="1" applyBorder="1" applyAlignment="1">
      <alignment horizontal="left" vertical="center"/>
    </xf>
    <xf numFmtId="179" fontId="26" fillId="0" borderId="16" xfId="0" applyNumberFormat="1" applyFont="1" applyFill="1" applyBorder="1" applyAlignment="1">
      <alignment horizontal="right" vertical="center"/>
    </xf>
    <xf numFmtId="0" fontId="32" fillId="4" borderId="6" xfId="0" applyFont="1" applyFill="1" applyBorder="1" applyAlignment="1">
      <alignment horizontal="left" vertical="center"/>
    </xf>
    <xf numFmtId="179" fontId="26" fillId="0" borderId="6" xfId="0" applyNumberFormat="1" applyFont="1" applyFill="1" applyBorder="1" applyAlignment="1">
      <alignment horizontal="right" vertical="center"/>
    </xf>
    <xf numFmtId="0" fontId="32" fillId="4" borderId="1" xfId="0" applyFont="1" applyFill="1" applyBorder="1" applyAlignment="1">
      <alignment horizontal="left" vertical="center"/>
    </xf>
    <xf numFmtId="0" fontId="26" fillId="0" borderId="16" xfId="0" applyFont="1" applyFill="1" applyBorder="1" applyAlignment="1">
      <alignment vertical="center"/>
    </xf>
    <xf numFmtId="0" fontId="32" fillId="4" borderId="6" xfId="0" applyFont="1" applyFill="1" applyBorder="1" applyAlignment="1">
      <alignment vertical="center"/>
    </xf>
    <xf numFmtId="181" fontId="26" fillId="0" borderId="6" xfId="0" applyNumberFormat="1" applyFont="1" applyFill="1" applyBorder="1" applyAlignment="1">
      <alignment vertical="center"/>
    </xf>
    <xf numFmtId="10" fontId="28" fillId="4" borderId="5" xfId="0" applyNumberFormat="1" applyFont="1" applyFill="1" applyBorder="1" applyAlignment="1">
      <alignment vertical="center"/>
    </xf>
    <xf numFmtId="10" fontId="13" fillId="0" borderId="10" xfId="0" applyNumberFormat="1" applyFont="1" applyFill="1" applyBorder="1" applyAlignment="1">
      <alignment vertical="center"/>
    </xf>
    <xf numFmtId="0" fontId="32" fillId="0" borderId="1" xfId="0" applyFont="1" applyFill="1" applyBorder="1" applyAlignment="1">
      <alignment vertical="center"/>
    </xf>
    <xf numFmtId="0" fontId="32" fillId="4" borderId="1" xfId="0" applyFont="1" applyFill="1" applyBorder="1" applyAlignment="1">
      <alignment vertical="center"/>
    </xf>
    <xf numFmtId="0" fontId="25" fillId="0" borderId="29" xfId="0" applyFont="1" applyFill="1" applyBorder="1" applyAlignment="1">
      <alignment vertical="center"/>
    </xf>
    <xf numFmtId="0" fontId="32" fillId="4" borderId="16" xfId="0" applyFont="1" applyFill="1" applyBorder="1" applyAlignment="1">
      <alignment vertical="center"/>
    </xf>
    <xf numFmtId="178" fontId="26" fillId="0" borderId="23" xfId="0" applyNumberFormat="1" applyFont="1" applyFill="1" applyBorder="1" applyAlignment="1">
      <alignment vertical="center"/>
    </xf>
    <xf numFmtId="181" fontId="26" fillId="0" borderId="16" xfId="0" applyNumberFormat="1" applyFont="1" applyFill="1" applyBorder="1" applyAlignment="1">
      <alignment vertical="center"/>
    </xf>
    <xf numFmtId="10" fontId="13" fillId="0" borderId="15" xfId="0" applyNumberFormat="1" applyFont="1" applyFill="1" applyBorder="1" applyAlignment="1">
      <alignment vertical="center"/>
    </xf>
    <xf numFmtId="0" fontId="27" fillId="0" borderId="11" xfId="0" applyFont="1" applyFill="1" applyBorder="1" applyAlignment="1">
      <alignment vertical="center" textRotation="255"/>
    </xf>
    <xf numFmtId="0" fontId="27" fillId="0" borderId="11" xfId="0" applyFont="1" applyFill="1" applyBorder="1" applyAlignment="1">
      <alignment horizontal="left" vertical="center"/>
    </xf>
    <xf numFmtId="178" fontId="27" fillId="0" borderId="11" xfId="0" applyNumberFormat="1" applyFont="1" applyFill="1" applyBorder="1" applyAlignment="1">
      <alignment horizontal="righ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" xfId="0" applyNumberFormat="1" applyFont="1" applyFill="1" applyBorder="1" applyAlignment="1">
      <alignment horizontal="center" vertical="center"/>
    </xf>
    <xf numFmtId="0" fontId="8" fillId="8" borderId="2" xfId="0" applyNumberFormat="1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8" xfId="0" applyNumberFormat="1" applyFont="1" applyFill="1" applyBorder="1" applyAlignment="1">
      <alignment horizontal="center" vertical="center"/>
    </xf>
    <xf numFmtId="0" fontId="8" fillId="8" borderId="28" xfId="0" applyNumberFormat="1" applyFont="1" applyFill="1" applyBorder="1" applyAlignment="1">
      <alignment horizontal="center" vertical="center" wrapText="1"/>
    </xf>
    <xf numFmtId="0" fontId="23" fillId="9" borderId="28" xfId="0" applyFont="1" applyFill="1" applyBorder="1" applyAlignment="1">
      <alignment horizontal="center" vertical="center"/>
    </xf>
    <xf numFmtId="0" fontId="23" fillId="9" borderId="28" xfId="0" applyFont="1" applyFill="1" applyBorder="1" applyAlignment="1">
      <alignment horizontal="center" vertical="center" wrapText="1"/>
    </xf>
    <xf numFmtId="0" fontId="23" fillId="4" borderId="28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11" xfId="0" applyNumberFormat="1" applyFont="1" applyFill="1" applyBorder="1" applyAlignment="1">
      <alignment horizontal="center" vertical="center"/>
    </xf>
    <xf numFmtId="0" fontId="8" fillId="8" borderId="11" xfId="0" applyNumberFormat="1" applyFont="1" applyFill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center" vertical="center"/>
    </xf>
    <xf numFmtId="0" fontId="23" fillId="9" borderId="11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4" fontId="36" fillId="10" borderId="1" xfId="0" applyNumberFormat="1" applyFont="1" applyFill="1" applyBorder="1" applyAlignment="1">
      <alignment vertical="center" wrapText="1"/>
    </xf>
    <xf numFmtId="3" fontId="36" fillId="10" borderId="1" xfId="0" applyNumberFormat="1" applyFont="1" applyFill="1" applyBorder="1" applyAlignment="1">
      <alignment vertical="center" wrapText="1"/>
    </xf>
    <xf numFmtId="183" fontId="37" fillId="0" borderId="1" xfId="0" applyNumberFormat="1" applyFont="1" applyBorder="1">
      <alignment vertical="center"/>
    </xf>
    <xf numFmtId="0" fontId="37" fillId="0" borderId="1" xfId="0" applyFont="1" applyBorder="1">
      <alignment vertical="center"/>
    </xf>
    <xf numFmtId="180" fontId="37" fillId="0" borderId="1" xfId="0" applyNumberFormat="1" applyFont="1" applyBorder="1">
      <alignment vertical="center"/>
    </xf>
    <xf numFmtId="0" fontId="38" fillId="0" borderId="10" xfId="0" applyFont="1" applyBorder="1">
      <alignment vertical="center"/>
    </xf>
    <xf numFmtId="10" fontId="38" fillId="0" borderId="1" xfId="0" applyNumberFormat="1" applyFont="1" applyBorder="1">
      <alignment vertical="center"/>
    </xf>
    <xf numFmtId="10" fontId="38" fillId="0" borderId="14" xfId="0" applyNumberFormat="1" applyFont="1" applyBorder="1">
      <alignment vertical="center"/>
    </xf>
    <xf numFmtId="180" fontId="39" fillId="3" borderId="1" xfId="0" applyNumberFormat="1" applyFont="1" applyFill="1" applyBorder="1">
      <alignment vertical="center"/>
    </xf>
    <xf numFmtId="0" fontId="36" fillId="10" borderId="1" xfId="0" applyFont="1" applyFill="1" applyBorder="1" applyAlignment="1">
      <alignment vertical="center" wrapText="1"/>
    </xf>
    <xf numFmtId="4" fontId="36" fillId="0" borderId="1" xfId="0" applyNumberFormat="1" applyFont="1" applyBorder="1">
      <alignment vertical="center"/>
    </xf>
    <xf numFmtId="0" fontId="34" fillId="0" borderId="1" xfId="49" applyFont="1" applyFill="1" applyBorder="1" applyAlignment="1">
      <alignment horizontal="center" vertical="center"/>
    </xf>
    <xf numFmtId="0" fontId="35" fillId="0" borderId="1" xfId="49" applyFont="1" applyFill="1" applyBorder="1" applyAlignment="1">
      <alignment horizontal="center" vertical="center"/>
    </xf>
    <xf numFmtId="10" fontId="40" fillId="4" borderId="1" xfId="0" applyNumberFormat="1" applyFont="1" applyFill="1" applyBorder="1">
      <alignment vertical="center"/>
    </xf>
    <xf numFmtId="178" fontId="14" fillId="0" borderId="11" xfId="0" applyNumberFormat="1" applyFont="1" applyFill="1" applyBorder="1" applyAlignment="1">
      <alignment horizontal="center" vertical="center" wrapText="1"/>
    </xf>
    <xf numFmtId="183" fontId="39" fillId="4" borderId="1" xfId="0" applyNumberFormat="1" applyFont="1" applyFill="1" applyBorder="1">
      <alignment vertical="center"/>
    </xf>
    <xf numFmtId="0" fontId="36" fillId="0" borderId="1" xfId="0" applyFont="1" applyBorder="1">
      <alignment vertical="center"/>
    </xf>
    <xf numFmtId="10" fontId="40" fillId="3" borderId="1" xfId="0" applyNumberFormat="1" applyFont="1" applyFill="1" applyBorder="1">
      <alignment vertical="center"/>
    </xf>
    <xf numFmtId="4" fontId="36" fillId="11" borderId="1" xfId="0" applyNumberFormat="1" applyFont="1" applyFill="1" applyBorder="1" applyAlignment="1">
      <alignment vertical="center" wrapText="1"/>
    </xf>
    <xf numFmtId="3" fontId="36" fillId="11" borderId="1" xfId="0" applyNumberFormat="1" applyFont="1" applyFill="1" applyBorder="1" applyAlignment="1">
      <alignment vertical="center" wrapText="1"/>
    </xf>
    <xf numFmtId="4" fontId="37" fillId="10" borderId="1" xfId="0" applyNumberFormat="1" applyFont="1" applyFill="1" applyBorder="1" applyAlignment="1">
      <alignment vertical="center" wrapText="1"/>
    </xf>
    <xf numFmtId="0" fontId="41" fillId="12" borderId="22" xfId="0" applyFont="1" applyFill="1" applyBorder="1" applyAlignment="1">
      <alignment horizontal="center" vertical="center"/>
    </xf>
    <xf numFmtId="0" fontId="42" fillId="12" borderId="42" xfId="0" applyFont="1" applyFill="1" applyBorder="1" applyAlignment="1">
      <alignment horizontal="center" vertical="center"/>
    </xf>
    <xf numFmtId="0" fontId="42" fillId="12" borderId="27" xfId="0" applyFont="1" applyFill="1" applyBorder="1" applyAlignment="1">
      <alignment horizontal="center" vertical="center"/>
    </xf>
    <xf numFmtId="179" fontId="43" fillId="12" borderId="1" xfId="0" applyNumberFormat="1" applyFont="1" applyFill="1" applyBorder="1">
      <alignment vertical="center"/>
    </xf>
    <xf numFmtId="183" fontId="43" fillId="12" borderId="1" xfId="0" applyNumberFormat="1" applyFont="1" applyFill="1" applyBorder="1">
      <alignment vertical="center"/>
    </xf>
    <xf numFmtId="0" fontId="43" fillId="12" borderId="1" xfId="0" applyFont="1" applyFill="1" applyBorder="1">
      <alignment vertical="center"/>
    </xf>
    <xf numFmtId="179" fontId="44" fillId="13" borderId="1" xfId="0" applyNumberFormat="1" applyFont="1" applyFill="1" applyBorder="1">
      <alignment vertical="center"/>
    </xf>
    <xf numFmtId="0" fontId="45" fillId="12" borderId="15" xfId="0" applyFont="1" applyFill="1" applyBorder="1">
      <alignment vertical="center"/>
    </xf>
    <xf numFmtId="10" fontId="45" fillId="12" borderId="16" xfId="0" applyNumberFormat="1" applyFont="1" applyFill="1" applyBorder="1">
      <alignment vertical="center"/>
    </xf>
    <xf numFmtId="10" fontId="45" fillId="12" borderId="17" xfId="0" applyNumberFormat="1" applyFont="1" applyFill="1" applyBorder="1">
      <alignment vertical="center"/>
    </xf>
    <xf numFmtId="0" fontId="24" fillId="0" borderId="0" xfId="0" applyFont="1">
      <alignment vertical="center"/>
    </xf>
    <xf numFmtId="0" fontId="38" fillId="0" borderId="0" xfId="0" applyFont="1">
      <alignment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NumberFormat="1" applyFont="1" applyFill="1" applyBorder="1" applyAlignment="1">
      <alignment horizontal="center" vertical="center"/>
    </xf>
    <xf numFmtId="0" fontId="8" fillId="8" borderId="6" xfId="0" applyNumberFormat="1" applyFont="1" applyFill="1" applyBorder="1" applyAlignment="1">
      <alignment horizontal="center" vertical="center" wrapText="1"/>
    </xf>
    <xf numFmtId="0" fontId="23" fillId="9" borderId="6" xfId="0" applyFont="1" applyFill="1" applyBorder="1" applyAlignment="1">
      <alignment horizontal="center" vertical="center"/>
    </xf>
    <xf numFmtId="0" fontId="23" fillId="9" borderId="6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3" fillId="4" borderId="37" xfId="0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46" fillId="12" borderId="6" xfId="0" applyFont="1" applyFill="1" applyBorder="1" applyAlignment="1">
      <alignment horizontal="center" vertical="center"/>
    </xf>
    <xf numFmtId="0" fontId="46" fillId="14" borderId="2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1" xfId="0" applyNumberFormat="1" applyFont="1" applyFill="1" applyBorder="1" applyAlignment="1">
      <alignment horizontal="center" vertical="center"/>
    </xf>
    <xf numFmtId="0" fontId="8" fillId="8" borderId="1" xfId="0" applyNumberFormat="1" applyFont="1" applyFill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 wrapText="1"/>
    </xf>
    <xf numFmtId="0" fontId="23" fillId="6" borderId="10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46" fillId="12" borderId="1" xfId="0" applyFont="1" applyFill="1" applyBorder="1" applyAlignment="1">
      <alignment horizontal="center" vertical="center"/>
    </xf>
    <xf numFmtId="0" fontId="46" fillId="14" borderId="14" xfId="0" applyFont="1" applyFill="1" applyBorder="1" applyAlignment="1">
      <alignment horizontal="center" vertical="center"/>
    </xf>
    <xf numFmtId="0" fontId="33" fillId="0" borderId="10" xfId="0" applyFont="1" applyFill="1" applyBorder="1" applyAlignment="1">
      <alignment horizontal="center" vertical="center"/>
    </xf>
    <xf numFmtId="4" fontId="36" fillId="0" borderId="22" xfId="0" applyNumberFormat="1" applyFont="1" applyBorder="1">
      <alignment vertical="center"/>
    </xf>
    <xf numFmtId="183" fontId="37" fillId="0" borderId="1" xfId="0" applyNumberFormat="1" applyFont="1" applyFill="1" applyBorder="1">
      <alignment vertical="center"/>
    </xf>
    <xf numFmtId="178" fontId="14" fillId="0" borderId="1" xfId="0" applyNumberFormat="1" applyFont="1" applyFill="1" applyBorder="1" applyAlignment="1">
      <alignment horizontal="center" vertical="center" wrapText="1"/>
    </xf>
    <xf numFmtId="4" fontId="36" fillId="10" borderId="22" xfId="0" applyNumberFormat="1" applyFont="1" applyFill="1" applyBorder="1" applyAlignment="1">
      <alignment vertical="center" wrapText="1"/>
    </xf>
    <xf numFmtId="0" fontId="41" fillId="12" borderId="15" xfId="0" applyFont="1" applyFill="1" applyBorder="1" applyAlignment="1">
      <alignment horizontal="center" vertical="center"/>
    </xf>
    <xf numFmtId="0" fontId="42" fillId="12" borderId="16" xfId="0" applyFont="1" applyFill="1" applyBorder="1" applyAlignment="1">
      <alignment horizontal="center" vertical="center"/>
    </xf>
    <xf numFmtId="179" fontId="43" fillId="12" borderId="16" xfId="0" applyNumberFormat="1" applyFont="1" applyFill="1" applyBorder="1">
      <alignment vertical="center"/>
    </xf>
    <xf numFmtId="183" fontId="47" fillId="4" borderId="16" xfId="0" applyNumberFormat="1" applyFont="1" applyFill="1" applyBorder="1">
      <alignment vertical="center"/>
    </xf>
    <xf numFmtId="0" fontId="43" fillId="12" borderId="16" xfId="0" applyFont="1" applyFill="1" applyBorder="1">
      <alignment vertical="center"/>
    </xf>
    <xf numFmtId="183" fontId="43" fillId="12" borderId="16" xfId="0" applyNumberFormat="1" applyFont="1" applyFill="1" applyBorder="1">
      <alignment vertical="center"/>
    </xf>
    <xf numFmtId="179" fontId="43" fillId="12" borderId="23" xfId="0" applyNumberFormat="1" applyFont="1" applyFill="1" applyBorder="1">
      <alignment vertical="center"/>
    </xf>
    <xf numFmtId="0" fontId="48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180" fontId="24" fillId="0" borderId="0" xfId="0" applyNumberFormat="1" applyFont="1" applyAlignment="1">
      <alignment horizontal="center" vertical="center"/>
    </xf>
    <xf numFmtId="0" fontId="24" fillId="0" borderId="0" xfId="0" applyFont="1" applyBorder="1">
      <alignment vertical="center"/>
    </xf>
    <xf numFmtId="0" fontId="24" fillId="0" borderId="0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180" fontId="24" fillId="0" borderId="0" xfId="0" applyNumberFormat="1" applyFont="1" applyFill="1" applyAlignment="1">
      <alignment horizontal="center" vertical="center"/>
    </xf>
    <xf numFmtId="0" fontId="14" fillId="7" borderId="5" xfId="0" applyNumberFormat="1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/>
    </xf>
    <xf numFmtId="0" fontId="23" fillId="7" borderId="37" xfId="0" applyFont="1" applyFill="1" applyBorder="1" applyAlignment="1">
      <alignment horizontal="center" vertical="center"/>
    </xf>
    <xf numFmtId="0" fontId="50" fillId="7" borderId="5" xfId="0" applyFont="1" applyFill="1" applyBorder="1" applyAlignment="1">
      <alignment horizontal="center" vertical="top" wrapText="1"/>
    </xf>
    <xf numFmtId="0" fontId="50" fillId="7" borderId="20" xfId="0" applyFont="1" applyFill="1" applyBorder="1" applyAlignment="1">
      <alignment horizontal="center" vertical="top" wrapText="1"/>
    </xf>
    <xf numFmtId="180" fontId="23" fillId="0" borderId="0" xfId="0" applyNumberFormat="1" applyFont="1" applyFill="1" applyAlignment="1">
      <alignment horizontal="center" vertical="center"/>
    </xf>
    <xf numFmtId="0" fontId="14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50" fillId="7" borderId="10" xfId="0" applyFont="1" applyFill="1" applyBorder="1" applyAlignment="1">
      <alignment horizontal="center" vertical="top" wrapText="1"/>
    </xf>
    <xf numFmtId="0" fontId="50" fillId="7" borderId="14" xfId="0" applyFont="1" applyFill="1" applyBorder="1" applyAlignment="1">
      <alignment horizontal="center" vertical="top" wrapText="1"/>
    </xf>
    <xf numFmtId="0" fontId="9" fillId="0" borderId="10" xfId="0" applyFont="1" applyFill="1" applyBorder="1" applyAlignment="1">
      <alignment horizontal="center" vertical="center"/>
    </xf>
    <xf numFmtId="180" fontId="21" fillId="0" borderId="1" xfId="0" applyNumberFormat="1" applyFont="1" applyFill="1" applyBorder="1" applyAlignment="1">
      <alignment horizontal="center" vertical="center"/>
    </xf>
    <xf numFmtId="180" fontId="24" fillId="0" borderId="1" xfId="0" applyNumberFormat="1" applyFont="1" applyBorder="1" applyAlignment="1">
      <alignment horizontal="center" vertical="center"/>
    </xf>
    <xf numFmtId="180" fontId="24" fillId="0" borderId="1" xfId="0" applyNumberFormat="1" applyFont="1" applyBorder="1" applyAlignment="1">
      <alignment horizontal="center" vertical="center" wrapText="1"/>
    </xf>
    <xf numFmtId="180" fontId="24" fillId="0" borderId="27" xfId="0" applyNumberFormat="1" applyFont="1" applyBorder="1" applyAlignment="1">
      <alignment horizontal="center" vertical="center"/>
    </xf>
    <xf numFmtId="180" fontId="24" fillId="0" borderId="22" xfId="0" applyNumberFormat="1" applyFont="1" applyFill="1" applyBorder="1" applyAlignment="1">
      <alignment horizontal="center" vertical="center"/>
    </xf>
    <xf numFmtId="10" fontId="24" fillId="0" borderId="10" xfId="0" applyNumberFormat="1" applyFont="1" applyBorder="1" applyAlignment="1">
      <alignment horizontal="center" vertical="center"/>
    </xf>
    <xf numFmtId="180" fontId="24" fillId="0" borderId="14" xfId="0" applyNumberFormat="1" applyFont="1" applyBorder="1" applyAlignment="1">
      <alignment horizontal="center" vertical="center"/>
    </xf>
    <xf numFmtId="180" fontId="29" fillId="0" borderId="0" xfId="0" applyNumberFormat="1" applyFont="1" applyFill="1" applyAlignment="1">
      <alignment horizontal="center" vertical="center"/>
    </xf>
    <xf numFmtId="180" fontId="9" fillId="0" borderId="10" xfId="0" applyNumberFormat="1" applyFont="1" applyFill="1" applyBorder="1" applyAlignment="1">
      <alignment horizontal="center" vertical="center"/>
    </xf>
    <xf numFmtId="180" fontId="24" fillId="0" borderId="1" xfId="1" applyNumberFormat="1" applyFont="1" applyFill="1" applyBorder="1" applyAlignment="1">
      <alignment horizontal="center" vertical="center" shrinkToFit="1"/>
    </xf>
    <xf numFmtId="180" fontId="24" fillId="2" borderId="1" xfId="1" applyNumberFormat="1" applyFont="1" applyFill="1" applyBorder="1" applyAlignment="1">
      <alignment horizontal="center" vertical="center" shrinkToFit="1"/>
    </xf>
    <xf numFmtId="180" fontId="24" fillId="2" borderId="1" xfId="1" applyNumberFormat="1" applyFont="1" applyFill="1" applyBorder="1" applyAlignment="1">
      <alignment horizontal="left" vertical="center" shrinkToFit="1"/>
    </xf>
    <xf numFmtId="180" fontId="24" fillId="0" borderId="14" xfId="0" applyNumberFormat="1" applyFont="1" applyFill="1" applyBorder="1" applyAlignment="1">
      <alignment horizontal="center" vertical="center"/>
    </xf>
    <xf numFmtId="180" fontId="24" fillId="0" borderId="1" xfId="0" applyNumberFormat="1" applyFont="1" applyFill="1" applyBorder="1" applyAlignment="1">
      <alignment horizontal="center" vertical="center"/>
    </xf>
    <xf numFmtId="180" fontId="24" fillId="0" borderId="1" xfId="0" applyNumberFormat="1" applyFont="1" applyFill="1" applyBorder="1" applyAlignment="1">
      <alignment horizontal="center" vertical="center" wrapText="1"/>
    </xf>
    <xf numFmtId="180" fontId="24" fillId="0" borderId="27" xfId="0" applyNumberFormat="1" applyFont="1" applyFill="1" applyBorder="1" applyAlignment="1">
      <alignment horizontal="center" vertical="center"/>
    </xf>
    <xf numFmtId="180" fontId="5" fillId="2" borderId="1" xfId="49" applyNumberFormat="1" applyFont="1" applyFill="1" applyBorder="1" applyAlignment="1">
      <alignment horizontal="left" vertical="center"/>
    </xf>
    <xf numFmtId="0" fontId="9" fillId="0" borderId="10" xfId="49" applyFont="1" applyFill="1" applyBorder="1" applyAlignment="1">
      <alignment horizontal="center" vertical="center"/>
    </xf>
    <xf numFmtId="180" fontId="24" fillId="0" borderId="27" xfId="0" applyNumberFormat="1" applyFont="1" applyFill="1" applyBorder="1" applyAlignment="1">
      <alignment horizontal="center" vertical="center" wrapText="1"/>
    </xf>
    <xf numFmtId="10" fontId="51" fillId="3" borderId="10" xfId="0" applyNumberFormat="1" applyFont="1" applyFill="1" applyBorder="1" applyAlignment="1">
      <alignment horizontal="center" vertical="center"/>
    </xf>
    <xf numFmtId="180" fontId="51" fillId="3" borderId="14" xfId="0" applyNumberFormat="1" applyFont="1" applyFill="1" applyBorder="1" applyAlignment="1">
      <alignment horizontal="center" vertical="center"/>
    </xf>
    <xf numFmtId="180" fontId="9" fillId="0" borderId="10" xfId="49" applyNumberFormat="1" applyFont="1" applyFill="1" applyBorder="1" applyAlignment="1">
      <alignment horizontal="center" vertical="center"/>
    </xf>
    <xf numFmtId="180" fontId="24" fillId="0" borderId="16" xfId="0" applyNumberFormat="1" applyFont="1" applyBorder="1" applyAlignment="1">
      <alignment horizontal="center" vertical="center"/>
    </xf>
    <xf numFmtId="180" fontId="24" fillId="0" borderId="23" xfId="0" applyNumberFormat="1" applyFont="1" applyBorder="1" applyAlignment="1">
      <alignment horizontal="center" vertical="center"/>
    </xf>
    <xf numFmtId="10" fontId="24" fillId="0" borderId="15" xfId="0" applyNumberFormat="1" applyFont="1" applyBorder="1" applyAlignment="1">
      <alignment horizontal="center" vertical="center"/>
    </xf>
    <xf numFmtId="180" fontId="24" fillId="0" borderId="17" xfId="0" applyNumberFormat="1" applyFont="1" applyBorder="1" applyAlignment="1">
      <alignment horizontal="center" vertical="center"/>
    </xf>
    <xf numFmtId="180" fontId="13" fillId="0" borderId="15" xfId="0" applyNumberFormat="1" applyFont="1" applyFill="1" applyBorder="1" applyAlignment="1">
      <alignment horizontal="center" vertical="center"/>
    </xf>
    <xf numFmtId="178" fontId="24" fillId="0" borderId="0" xfId="0" applyNumberFormat="1" applyFont="1" applyAlignment="1">
      <alignment horizontal="center" vertical="center"/>
    </xf>
    <xf numFmtId="178" fontId="21" fillId="0" borderId="1" xfId="0" applyNumberFormat="1" applyFont="1" applyFill="1" applyBorder="1" applyAlignment="1">
      <alignment horizontal="center" vertical="center"/>
    </xf>
    <xf numFmtId="178" fontId="24" fillId="0" borderId="1" xfId="0" applyNumberFormat="1" applyFont="1" applyFill="1" applyBorder="1" applyAlignment="1">
      <alignment horizontal="center" vertical="center"/>
    </xf>
    <xf numFmtId="178" fontId="24" fillId="0" borderId="1" xfId="0" applyNumberFormat="1" applyFont="1" applyFill="1" applyBorder="1" applyAlignment="1">
      <alignment horizontal="center" vertical="center" wrapText="1"/>
    </xf>
    <xf numFmtId="178" fontId="24" fillId="0" borderId="27" xfId="0" applyNumberFormat="1" applyFont="1" applyFill="1" applyBorder="1" applyAlignment="1">
      <alignment horizontal="center" vertical="center"/>
    </xf>
    <xf numFmtId="178" fontId="24" fillId="0" borderId="22" xfId="0" applyNumberFormat="1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181" fontId="24" fillId="0" borderId="1" xfId="1" applyNumberFormat="1" applyFont="1" applyFill="1" applyBorder="1" applyAlignment="1">
      <alignment horizontal="center" vertical="center" shrinkToFit="1"/>
    </xf>
    <xf numFmtId="181" fontId="24" fillId="2" borderId="1" xfId="1" applyNumberFormat="1" applyFont="1" applyFill="1" applyBorder="1" applyAlignment="1">
      <alignment horizontal="center" vertical="center" shrinkToFit="1"/>
    </xf>
    <xf numFmtId="181" fontId="24" fillId="2" borderId="1" xfId="1" applyNumberFormat="1" applyFont="1" applyFill="1" applyBorder="1" applyAlignment="1">
      <alignment horizontal="left" vertical="center" shrinkToFit="1"/>
    </xf>
    <xf numFmtId="178" fontId="24" fillId="0" borderId="14" xfId="0" applyNumberFormat="1" applyFont="1" applyFill="1" applyBorder="1" applyAlignment="1">
      <alignment horizontal="center" vertical="center"/>
    </xf>
    <xf numFmtId="181" fontId="9" fillId="2" borderId="1" xfId="1" applyNumberFormat="1" applyFont="1" applyFill="1" applyBorder="1" applyAlignment="1">
      <alignment horizontal="left" vertical="center" shrinkToFit="1"/>
    </xf>
    <xf numFmtId="0" fontId="24" fillId="0" borderId="10" xfId="49" applyFont="1" applyFill="1" applyBorder="1" applyAlignment="1">
      <alignment horizontal="center" vertical="center"/>
    </xf>
    <xf numFmtId="178" fontId="24" fillId="0" borderId="16" xfId="0" applyNumberFormat="1" applyFont="1" applyFill="1" applyBorder="1" applyAlignment="1">
      <alignment horizontal="center" vertical="center"/>
    </xf>
    <xf numFmtId="178" fontId="24" fillId="0" borderId="23" xfId="0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178" fontId="24" fillId="0" borderId="16" xfId="0" applyNumberFormat="1" applyFont="1" applyBorder="1" applyAlignment="1">
      <alignment horizontal="center" vertical="center"/>
    </xf>
    <xf numFmtId="178" fontId="24" fillId="0" borderId="17" xfId="0" applyNumberFormat="1" applyFont="1" applyBorder="1" applyAlignment="1">
      <alignment horizontal="center" vertical="center"/>
    </xf>
    <xf numFmtId="180" fontId="52" fillId="7" borderId="20" xfId="0" applyNumberFormat="1" applyFont="1" applyFill="1" applyBorder="1" applyAlignment="1">
      <alignment horizontal="center" vertical="center" wrapText="1"/>
    </xf>
    <xf numFmtId="180" fontId="23" fillId="0" borderId="0" xfId="0" applyNumberFormat="1" applyFont="1" applyFill="1" applyBorder="1" applyAlignment="1">
      <alignment horizontal="center" vertical="center"/>
    </xf>
    <xf numFmtId="180" fontId="52" fillId="7" borderId="14" xfId="0" applyNumberFormat="1" applyFont="1" applyFill="1" applyBorder="1" applyAlignment="1">
      <alignment horizontal="center" vertical="center" wrapText="1"/>
    </xf>
    <xf numFmtId="180" fontId="24" fillId="0" borderId="14" xfId="0" applyNumberFormat="1" applyFont="1" applyFill="1" applyBorder="1" applyAlignment="1">
      <alignment horizontal="center" vertical="center"/>
    </xf>
    <xf numFmtId="180" fontId="21" fillId="0" borderId="0" xfId="0" applyNumberFormat="1" applyFont="1" applyFill="1" applyBorder="1" applyAlignment="1">
      <alignment horizontal="center" vertical="center"/>
    </xf>
    <xf numFmtId="180" fontId="21" fillId="0" borderId="14" xfId="0" applyNumberFormat="1" applyFont="1" applyFill="1" applyBorder="1" applyAlignment="1">
      <alignment horizontal="center" vertical="center"/>
    </xf>
    <xf numFmtId="180" fontId="29" fillId="3" borderId="14" xfId="0" applyNumberFormat="1" applyFont="1" applyFill="1" applyBorder="1" applyAlignment="1">
      <alignment horizontal="center" vertical="center"/>
    </xf>
    <xf numFmtId="180" fontId="29" fillId="0" borderId="0" xfId="0" applyNumberFormat="1" applyFont="1" applyFill="1" applyBorder="1" applyAlignment="1">
      <alignment horizontal="center" vertical="center"/>
    </xf>
    <xf numFmtId="180" fontId="29" fillId="4" borderId="14" xfId="0" applyNumberFormat="1" applyFont="1" applyFill="1" applyBorder="1" applyAlignment="1">
      <alignment horizontal="center" vertical="center"/>
    </xf>
    <xf numFmtId="180" fontId="21" fillId="0" borderId="16" xfId="0" applyNumberFormat="1" applyFont="1" applyFill="1" applyBorder="1" applyAlignment="1">
      <alignment horizontal="center" vertical="center"/>
    </xf>
    <xf numFmtId="180" fontId="24" fillId="0" borderId="17" xfId="0" applyNumberFormat="1" applyFont="1" applyFill="1" applyBorder="1" applyAlignment="1">
      <alignment horizontal="center" vertical="center"/>
    </xf>
    <xf numFmtId="180" fontId="21" fillId="0" borderId="17" xfId="0" applyNumberFormat="1" applyFont="1" applyFill="1" applyBorder="1" applyAlignment="1">
      <alignment horizontal="center" vertical="center"/>
    </xf>
    <xf numFmtId="180" fontId="24" fillId="0" borderId="0" xfId="0" applyNumberFormat="1" applyFont="1" applyBorder="1">
      <alignment vertical="center"/>
    </xf>
    <xf numFmtId="180" fontId="24" fillId="0" borderId="0" xfId="0" applyNumberFormat="1" applyFont="1" applyBorder="1" applyAlignment="1">
      <alignment horizontal="center" vertical="center"/>
    </xf>
    <xf numFmtId="180" fontId="49" fillId="0" borderId="0" xfId="0" applyNumberFormat="1" applyFont="1" applyAlignment="1">
      <alignment horizontal="center" vertical="center"/>
    </xf>
    <xf numFmtId="180" fontId="49" fillId="0" borderId="0" xfId="0" applyNumberFormat="1" applyFont="1" applyFill="1" applyAlignment="1">
      <alignment horizontal="center" vertical="center"/>
    </xf>
    <xf numFmtId="180" fontId="14" fillId="7" borderId="5" xfId="0" applyNumberFormat="1" applyFont="1" applyFill="1" applyBorder="1" applyAlignment="1">
      <alignment horizontal="center" vertical="center"/>
    </xf>
    <xf numFmtId="180" fontId="23" fillId="7" borderId="6" xfId="0" applyNumberFormat="1" applyFont="1" applyFill="1" applyBorder="1" applyAlignment="1">
      <alignment horizontal="center" vertical="center"/>
    </xf>
    <xf numFmtId="180" fontId="23" fillId="7" borderId="20" xfId="0" applyNumberFormat="1" applyFont="1" applyFill="1" applyBorder="1" applyAlignment="1">
      <alignment horizontal="center" vertical="center"/>
    </xf>
    <xf numFmtId="180" fontId="23" fillId="7" borderId="38" xfId="0" applyNumberFormat="1" applyFont="1" applyFill="1" applyBorder="1" applyAlignment="1">
      <alignment horizontal="center" vertical="center"/>
    </xf>
    <xf numFmtId="180" fontId="23" fillId="7" borderId="6" xfId="0" applyNumberFormat="1" applyFont="1" applyFill="1" applyBorder="1" applyAlignment="1">
      <alignment horizontal="center" vertical="top" wrapText="1"/>
    </xf>
    <xf numFmtId="180" fontId="23" fillId="7" borderId="20" xfId="0" applyNumberFormat="1" applyFont="1" applyFill="1" applyBorder="1" applyAlignment="1">
      <alignment horizontal="center" vertical="top"/>
    </xf>
    <xf numFmtId="180" fontId="14" fillId="0" borderId="0" xfId="0" applyNumberFormat="1" applyFont="1" applyFill="1" applyAlignment="1">
      <alignment horizontal="center" vertical="center"/>
    </xf>
    <xf numFmtId="180" fontId="14" fillId="6" borderId="5" xfId="0" applyNumberFormat="1" applyFont="1" applyFill="1" applyBorder="1" applyAlignment="1">
      <alignment horizontal="center" vertical="center"/>
    </xf>
    <xf numFmtId="180" fontId="23" fillId="6" borderId="6" xfId="0" applyNumberFormat="1" applyFont="1" applyFill="1" applyBorder="1" applyAlignment="1">
      <alignment horizontal="center" vertical="center"/>
    </xf>
    <xf numFmtId="180" fontId="23" fillId="6" borderId="20" xfId="0" applyNumberFormat="1" applyFont="1" applyFill="1" applyBorder="1" applyAlignment="1">
      <alignment horizontal="center" vertical="center"/>
    </xf>
    <xf numFmtId="180" fontId="2" fillId="6" borderId="5" xfId="0" applyNumberFormat="1" applyFont="1" applyFill="1" applyBorder="1" applyAlignment="1">
      <alignment horizontal="center" vertical="center"/>
    </xf>
    <xf numFmtId="180" fontId="14" fillId="7" borderId="10" xfId="0" applyNumberFormat="1" applyFont="1" applyFill="1" applyBorder="1" applyAlignment="1">
      <alignment horizontal="center" vertical="center"/>
    </xf>
    <xf numFmtId="180" fontId="23" fillId="7" borderId="1" xfId="0" applyNumberFormat="1" applyFont="1" applyFill="1" applyBorder="1" applyAlignment="1">
      <alignment horizontal="center" vertical="center"/>
    </xf>
    <xf numFmtId="180" fontId="23" fillId="7" borderId="14" xfId="0" applyNumberFormat="1" applyFont="1" applyFill="1" applyBorder="1" applyAlignment="1">
      <alignment horizontal="center" vertical="center"/>
    </xf>
    <xf numFmtId="180" fontId="23" fillId="7" borderId="27" xfId="0" applyNumberFormat="1" applyFont="1" applyFill="1" applyBorder="1" applyAlignment="1">
      <alignment horizontal="center" vertical="center"/>
    </xf>
    <xf numFmtId="180" fontId="23" fillId="7" borderId="1" xfId="0" applyNumberFormat="1" applyFont="1" applyFill="1" applyBorder="1" applyAlignment="1">
      <alignment horizontal="center" vertical="top" wrapText="1"/>
    </xf>
    <xf numFmtId="180" fontId="23" fillId="7" borderId="14" xfId="0" applyNumberFormat="1" applyFont="1" applyFill="1" applyBorder="1" applyAlignment="1">
      <alignment horizontal="center" vertical="top"/>
    </xf>
    <xf numFmtId="180" fontId="14" fillId="6" borderId="10" xfId="0" applyNumberFormat="1" applyFont="1" applyFill="1" applyBorder="1" applyAlignment="1">
      <alignment horizontal="center" vertical="center"/>
    </xf>
    <xf numFmtId="180" fontId="23" fillId="6" borderId="1" xfId="0" applyNumberFormat="1" applyFont="1" applyFill="1" applyBorder="1" applyAlignment="1">
      <alignment horizontal="center" vertical="center"/>
    </xf>
    <xf numFmtId="180" fontId="23" fillId="6" borderId="14" xfId="0" applyNumberFormat="1" applyFont="1" applyFill="1" applyBorder="1" applyAlignment="1">
      <alignment horizontal="center" vertical="center"/>
    </xf>
    <xf numFmtId="180" fontId="2" fillId="6" borderId="10" xfId="0" applyNumberFormat="1" applyFont="1" applyFill="1" applyBorder="1" applyAlignment="1">
      <alignment horizontal="center" vertical="center"/>
    </xf>
    <xf numFmtId="180" fontId="13" fillId="0" borderId="1" xfId="0" applyNumberFormat="1" applyFont="1" applyFill="1" applyBorder="1" applyAlignment="1">
      <alignment horizontal="center" vertical="center"/>
    </xf>
    <xf numFmtId="180" fontId="23" fillId="0" borderId="1" xfId="0" applyNumberFormat="1" applyFont="1" applyFill="1" applyBorder="1" applyAlignment="1">
      <alignment horizontal="center" vertical="center"/>
    </xf>
    <xf numFmtId="180" fontId="23" fillId="0" borderId="14" xfId="0" applyNumberFormat="1" applyFont="1" applyFill="1" applyBorder="1" applyAlignment="1">
      <alignment horizontal="center" vertical="center"/>
    </xf>
    <xf numFmtId="180" fontId="19" fillId="0" borderId="0" xfId="0" applyNumberFormat="1" applyFont="1" applyFill="1" applyAlignment="1">
      <alignment horizontal="center" vertical="center"/>
    </xf>
    <xf numFmtId="180" fontId="24" fillId="0" borderId="1" xfId="0" applyNumberFormat="1" applyFont="1" applyBorder="1" applyAlignment="1">
      <alignment horizontal="center" vertical="center"/>
    </xf>
    <xf numFmtId="10" fontId="24" fillId="0" borderId="1" xfId="1" applyNumberFormat="1" applyFont="1" applyFill="1" applyBorder="1" applyAlignment="1">
      <alignment horizontal="center" vertical="center" shrinkToFit="1"/>
    </xf>
    <xf numFmtId="10" fontId="24" fillId="0" borderId="1" xfId="1" applyNumberFormat="1" applyFont="1" applyFill="1" applyBorder="1" applyAlignment="1">
      <alignment horizontal="center" vertical="center" shrinkToFit="1"/>
    </xf>
    <xf numFmtId="10" fontId="29" fillId="4" borderId="14" xfId="0" applyNumberFormat="1" applyFont="1" applyFill="1" applyBorder="1" applyAlignment="1">
      <alignment horizontal="center" vertical="center"/>
    </xf>
    <xf numFmtId="180" fontId="24" fillId="0" borderId="10" xfId="0" applyNumberFormat="1" applyFont="1" applyFill="1" applyBorder="1" applyAlignment="1">
      <alignment horizontal="center" vertical="center"/>
    </xf>
    <xf numFmtId="180" fontId="24" fillId="0" borderId="14" xfId="1" applyNumberFormat="1" applyFont="1" applyFill="1" applyBorder="1" applyAlignment="1">
      <alignment horizontal="center" vertical="center" shrinkToFit="1"/>
    </xf>
    <xf numFmtId="10" fontId="29" fillId="4" borderId="1" xfId="1" applyNumberFormat="1" applyFont="1" applyFill="1" applyBorder="1" applyAlignment="1">
      <alignment horizontal="center" vertical="center" shrinkToFit="1"/>
    </xf>
    <xf numFmtId="10" fontId="29" fillId="3" borderId="1" xfId="1" applyNumberFormat="1" applyFont="1" applyFill="1" applyBorder="1" applyAlignment="1">
      <alignment horizontal="center" vertical="center" shrinkToFit="1"/>
    </xf>
    <xf numFmtId="180" fontId="24" fillId="0" borderId="10" xfId="49" applyNumberFormat="1" applyFont="1" applyFill="1" applyBorder="1" applyAlignment="1">
      <alignment horizontal="center" vertical="center"/>
    </xf>
    <xf numFmtId="180" fontId="51" fillId="4" borderId="14" xfId="0" applyNumberFormat="1" applyFont="1" applyFill="1" applyBorder="1" applyAlignment="1">
      <alignment horizontal="center" vertical="center"/>
    </xf>
    <xf numFmtId="10" fontId="29" fillId="3" borderId="14" xfId="0" applyNumberFormat="1" applyFont="1" applyFill="1" applyBorder="1" applyAlignment="1">
      <alignment horizontal="center" vertical="center"/>
    </xf>
    <xf numFmtId="180" fontId="24" fillId="0" borderId="43" xfId="0" applyNumberFormat="1" applyFont="1" applyBorder="1" applyAlignment="1">
      <alignment horizontal="center" vertical="center"/>
    </xf>
    <xf numFmtId="180" fontId="23" fillId="0" borderId="16" xfId="0" applyNumberFormat="1" applyFont="1" applyFill="1" applyBorder="1" applyAlignment="1">
      <alignment horizontal="center" vertical="center"/>
    </xf>
    <xf numFmtId="180" fontId="23" fillId="0" borderId="17" xfId="0" applyNumberFormat="1" applyFont="1" applyFill="1" applyBorder="1" applyAlignment="1">
      <alignment horizontal="center" vertical="center"/>
    </xf>
    <xf numFmtId="10" fontId="24" fillId="0" borderId="16" xfId="1" applyNumberFormat="1" applyFont="1" applyFill="1" applyBorder="1" applyAlignment="1">
      <alignment horizontal="center" vertical="center" shrinkToFit="1"/>
    </xf>
    <xf numFmtId="10" fontId="51" fillId="3" borderId="17" xfId="0" applyNumberFormat="1" applyFont="1" applyFill="1" applyBorder="1" applyAlignment="1">
      <alignment horizontal="center" vertical="center"/>
    </xf>
    <xf numFmtId="180" fontId="21" fillId="0" borderId="15" xfId="0" applyNumberFormat="1" applyFont="1" applyFill="1" applyBorder="1" applyAlignment="1">
      <alignment horizontal="center" vertical="center"/>
    </xf>
    <xf numFmtId="180" fontId="24" fillId="0" borderId="16" xfId="1" applyNumberFormat="1" applyFont="1" applyFill="1" applyBorder="1" applyAlignment="1">
      <alignment horizontal="center" vertical="center" shrinkToFit="1"/>
    </xf>
    <xf numFmtId="180" fontId="24" fillId="0" borderId="17" xfId="1" applyNumberFormat="1" applyFont="1" applyFill="1" applyBorder="1" applyAlignment="1">
      <alignment horizontal="center" vertical="center" shrinkToFit="1"/>
    </xf>
    <xf numFmtId="180" fontId="13" fillId="0" borderId="0" xfId="0" applyNumberFormat="1" applyFont="1" applyFill="1" applyAlignment="1">
      <alignment horizontal="center" vertical="center"/>
    </xf>
    <xf numFmtId="180" fontId="22" fillId="0" borderId="0" xfId="0" applyNumberFormat="1" applyFont="1" applyFill="1" applyAlignment="1">
      <alignment horizontal="center" vertical="center"/>
    </xf>
    <xf numFmtId="180" fontId="49" fillId="0" borderId="5" xfId="0" applyNumberFormat="1" applyFont="1" applyBorder="1" applyAlignment="1">
      <alignment horizontal="center" vertical="center"/>
    </xf>
    <xf numFmtId="180" fontId="49" fillId="0" borderId="6" xfId="0" applyNumberFormat="1" applyFont="1" applyBorder="1" applyAlignment="1">
      <alignment horizontal="center" vertical="center"/>
    </xf>
    <xf numFmtId="180" fontId="49" fillId="0" borderId="20" xfId="0" applyNumberFormat="1" applyFont="1" applyBorder="1" applyAlignment="1">
      <alignment horizontal="center" vertical="center"/>
    </xf>
    <xf numFmtId="10" fontId="24" fillId="0" borderId="1" xfId="1" applyNumberFormat="1" applyFont="1" applyFill="1" applyBorder="1" applyAlignment="1">
      <alignment horizontal="center" vertical="center" shrinkToFit="1"/>
    </xf>
    <xf numFmtId="10" fontId="51" fillId="4" borderId="14" xfId="0" applyNumberFormat="1" applyFont="1" applyFill="1" applyBorder="1" applyAlignment="1">
      <alignment horizontal="center" vertical="center"/>
    </xf>
    <xf numFmtId="10" fontId="29" fillId="15" borderId="1" xfId="1" applyNumberFormat="1" applyFont="1" applyFill="1" applyBorder="1" applyAlignment="1">
      <alignment horizontal="center" vertical="center" shrinkToFit="1"/>
    </xf>
    <xf numFmtId="10" fontId="51" fillId="3" borderId="14" xfId="0" applyNumberFormat="1" applyFont="1" applyFill="1" applyBorder="1" applyAlignment="1">
      <alignment horizontal="center" vertical="center"/>
    </xf>
    <xf numFmtId="10" fontId="29" fillId="16" borderId="1" xfId="1" applyNumberFormat="1" applyFont="1" applyFill="1" applyBorder="1" applyAlignment="1">
      <alignment horizontal="center" vertical="center" shrinkToFit="1"/>
    </xf>
    <xf numFmtId="180" fontId="24" fillId="0" borderId="16" xfId="0" applyNumberFormat="1" applyFont="1" applyFill="1" applyBorder="1" applyAlignment="1">
      <alignment horizontal="center" vertical="center"/>
    </xf>
    <xf numFmtId="180" fontId="24" fillId="0" borderId="17" xfId="0" applyNumberFormat="1" applyFont="1" applyFill="1" applyBorder="1" applyAlignment="1">
      <alignment horizontal="center" vertical="center"/>
    </xf>
    <xf numFmtId="180" fontId="23" fillId="7" borderId="9" xfId="0" applyNumberFormat="1" applyFont="1" applyFill="1" applyBorder="1" applyAlignment="1">
      <alignment horizontal="center" vertical="top" wrapText="1"/>
    </xf>
    <xf numFmtId="180" fontId="23" fillId="7" borderId="19" xfId="0" applyNumberFormat="1" applyFont="1" applyFill="1" applyBorder="1" applyAlignment="1">
      <alignment horizontal="center" vertical="top" wrapText="1"/>
    </xf>
    <xf numFmtId="180" fontId="23" fillId="7" borderId="44" xfId="0" applyNumberFormat="1" applyFont="1" applyFill="1" applyBorder="1" applyAlignment="1">
      <alignment horizontal="center" vertical="top" wrapText="1"/>
    </xf>
    <xf numFmtId="180" fontId="23" fillId="0" borderId="0" xfId="0" applyNumberFormat="1" applyFont="1" applyAlignment="1">
      <alignment horizontal="center" vertical="center"/>
    </xf>
    <xf numFmtId="180" fontId="23" fillId="6" borderId="7" xfId="0" applyNumberFormat="1" applyFont="1" applyFill="1" applyBorder="1" applyAlignment="1">
      <alignment horizontal="center" vertical="center"/>
    </xf>
    <xf numFmtId="180" fontId="23" fillId="7" borderId="13" xfId="0" applyNumberFormat="1" applyFont="1" applyFill="1" applyBorder="1" applyAlignment="1">
      <alignment horizontal="center" vertical="top" wrapText="1"/>
    </xf>
    <xf numFmtId="180" fontId="23" fillId="7" borderId="21" xfId="0" applyNumberFormat="1" applyFont="1" applyFill="1" applyBorder="1" applyAlignment="1">
      <alignment horizontal="center" vertical="top" wrapText="1"/>
    </xf>
    <xf numFmtId="180" fontId="23" fillId="7" borderId="45" xfId="0" applyNumberFormat="1" applyFont="1" applyFill="1" applyBorder="1" applyAlignment="1">
      <alignment horizontal="center" vertical="top" wrapText="1"/>
    </xf>
    <xf numFmtId="180" fontId="23" fillId="6" borderId="11" xfId="0" applyNumberFormat="1" applyFont="1" applyFill="1" applyBorder="1" applyAlignment="1">
      <alignment horizontal="center" vertical="center"/>
    </xf>
    <xf numFmtId="180" fontId="2" fillId="0" borderId="13" xfId="0" applyNumberFormat="1" applyFont="1" applyFill="1" applyBorder="1" applyAlignment="1">
      <alignment horizontal="center" vertical="center"/>
    </xf>
    <xf numFmtId="180" fontId="23" fillId="0" borderId="22" xfId="0" applyNumberFormat="1" applyFont="1" applyBorder="1" applyAlignment="1">
      <alignment horizontal="center" vertical="center"/>
    </xf>
    <xf numFmtId="180" fontId="23" fillId="0" borderId="25" xfId="0" applyNumberFormat="1" applyFont="1" applyBorder="1" applyAlignment="1">
      <alignment horizontal="center" vertical="center"/>
    </xf>
    <xf numFmtId="180" fontId="9" fillId="0" borderId="0" xfId="0" applyNumberFormat="1" applyFont="1" applyFill="1" applyAlignment="1">
      <alignment horizontal="center" vertical="center"/>
    </xf>
    <xf numFmtId="180" fontId="29" fillId="3" borderId="1" xfId="0" applyNumberFormat="1" applyFont="1" applyFill="1" applyBorder="1" applyAlignment="1">
      <alignment horizontal="center" vertical="center"/>
    </xf>
    <xf numFmtId="180" fontId="29" fillId="4" borderId="1" xfId="0" applyNumberFormat="1" applyFont="1" applyFill="1" applyBorder="1" applyAlignment="1">
      <alignment horizontal="center" vertical="center"/>
    </xf>
    <xf numFmtId="180" fontId="9" fillId="0" borderId="0" xfId="49" applyNumberFormat="1" applyFont="1" applyFill="1" applyAlignment="1">
      <alignment horizontal="center" vertical="center"/>
    </xf>
    <xf numFmtId="180" fontId="2" fillId="0" borderId="18" xfId="0" applyNumberFormat="1" applyFont="1" applyFill="1" applyBorder="1" applyAlignment="1">
      <alignment horizontal="center" vertical="center"/>
    </xf>
    <xf numFmtId="180" fontId="23" fillId="0" borderId="23" xfId="0" applyNumberFormat="1" applyFont="1" applyBorder="1" applyAlignment="1">
      <alignment horizontal="center" vertical="center"/>
    </xf>
    <xf numFmtId="180" fontId="23" fillId="0" borderId="26" xfId="0" applyNumberFormat="1" applyFont="1" applyBorder="1" applyAlignment="1">
      <alignment horizontal="center" vertical="center"/>
    </xf>
    <xf numFmtId="180" fontId="29" fillId="4" borderId="16" xfId="0" applyNumberFormat="1" applyFont="1" applyFill="1" applyBorder="1" applyAlignment="1">
      <alignment horizontal="center" vertical="center"/>
    </xf>
    <xf numFmtId="180" fontId="29" fillId="0" borderId="16" xfId="0" applyNumberFormat="1" applyFont="1" applyFill="1" applyBorder="1" applyAlignment="1">
      <alignment horizontal="center" vertical="center"/>
    </xf>
    <xf numFmtId="180" fontId="51" fillId="4" borderId="17" xfId="0" applyNumberFormat="1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10" fontId="24" fillId="0" borderId="1" xfId="0" applyNumberFormat="1" applyFont="1" applyBorder="1" applyAlignment="1">
      <alignment horizontal="center" vertical="center"/>
    </xf>
    <xf numFmtId="10" fontId="24" fillId="0" borderId="14" xfId="0" applyNumberFormat="1" applyFont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8" fillId="0" borderId="0" xfId="0" applyFont="1" applyFill="1" applyAlignment="1">
      <alignment horizontal="left" vertical="center"/>
    </xf>
    <xf numFmtId="0" fontId="0" fillId="0" borderId="0" xfId="0" applyBorder="1">
      <alignment vertical="center"/>
    </xf>
    <xf numFmtId="179" fontId="24" fillId="0" borderId="16" xfId="0" applyNumberFormat="1" applyFont="1" applyBorder="1" applyAlignment="1">
      <alignment horizontal="center" vertical="center"/>
    </xf>
    <xf numFmtId="179" fontId="24" fillId="0" borderId="17" xfId="0" applyNumberFormat="1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 2" xfId="50"/>
    <cellStyle name="常规 10 2" xfId="51"/>
    <cellStyle name="常规 10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201</a:t>
            </a:r>
            <a:r>
              <a:rPr lang="en-US" altLang="zh-CN"/>
              <a:t>6</a:t>
            </a:r>
            <a:r>
              <a:t>年-2019年</a:t>
            </a:r>
            <a:r>
              <a:rPr>
                <a:solidFill>
                  <a:srgbClr val="FF0000"/>
                </a:solidFill>
              </a:rPr>
              <a:t>营业额</a:t>
            </a:r>
            <a:r>
              <a:t>统计表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华南海鲜店!$B$3</c:f>
              <c:strCache>
                <c:ptCount val="1"/>
                <c:pt idx="0">
                  <c:v/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华南海鲜店!$C$3:$N$3</c:f>
              <c:numCache>
                <c:formatCode>General</c:formatCode>
                <c:ptCount val="12"/>
              </c:numCache>
            </c:numRef>
          </c:val>
          <c:smooth val="0"/>
        </c:ser>
        <c:ser>
          <c:idx val="1"/>
          <c:order val="1"/>
          <c:tx>
            <c:strRef>
              <c:f>华南海鲜店!$B$4</c:f>
              <c:strCache>
                <c:ptCount val="1"/>
                <c:pt idx="0">
                  <c:v>2016年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华南海鲜店!$C$4:$N$4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华南海鲜店!$B$5</c:f>
              <c:strCache>
                <c:ptCount val="1"/>
                <c:pt idx="0">
                  <c:v>2017年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华南海鲜店!$C$5:$N$5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华南海鲜店!$B$6</c:f>
              <c:strCache>
                <c:ptCount val="1"/>
                <c:pt idx="0">
                  <c:v>2018年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华南海鲜店!$C$6:$N$6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华南海鲜店!$B$7</c:f>
              <c:strCache>
                <c:ptCount val="1"/>
                <c:pt idx="0">
                  <c:v>2019年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华南海鲜店!$C$7:$N$7</c:f>
              <c:numCache>
                <c:formatCode>0_);[Red]\(0\)</c:formatCode>
                <c:ptCount val="12"/>
                <c:pt idx="0">
                  <c:v>11.681857</c:v>
                </c:pt>
                <c:pt idx="1">
                  <c:v>11.45976</c:v>
                </c:pt>
                <c:pt idx="2">
                  <c:v>12.30345</c:v>
                </c:pt>
                <c:pt idx="3">
                  <c:v>12.014886</c:v>
                </c:pt>
                <c:pt idx="4">
                  <c:v>12.863619</c:v>
                </c:pt>
                <c:pt idx="5">
                  <c:v>10.867187</c:v>
                </c:pt>
                <c:pt idx="6">
                  <c:v>13.239522</c:v>
                </c:pt>
                <c:pt idx="7">
                  <c:v>11.106115</c:v>
                </c:pt>
                <c:pt idx="8">
                  <c:v>10.347582</c:v>
                </c:pt>
                <c:pt idx="9">
                  <c:v>10.414614</c:v>
                </c:pt>
                <c:pt idx="10">
                  <c:v>11.215678</c:v>
                </c:pt>
                <c:pt idx="11">
                  <c:v>14.90469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3811288"/>
        <c:axId val="68221372"/>
      </c:lineChart>
      <c:catAx>
        <c:axId val="583811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21372"/>
        <c:crosses val="autoZero"/>
        <c:auto val="1"/>
        <c:lblAlgn val="ctr"/>
        <c:lblOffset val="100"/>
        <c:noMultiLvlLbl val="0"/>
      </c:catAx>
      <c:valAx>
        <c:axId val="68221372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811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943e8b-5191-4e79-88c9-2afe53827deb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201</a:t>
            </a:r>
            <a:r>
              <a:rPr lang="en-US" altLang="zh-CN"/>
              <a:t>6</a:t>
            </a:r>
            <a:r>
              <a:t>年-2019年</a:t>
            </a:r>
            <a:r>
              <a:rPr lang="en-US" altLang="zh-CN">
                <a:solidFill>
                  <a:srgbClr val="FF0000"/>
                </a:solidFill>
              </a:rPr>
              <a:t>TC</a:t>
            </a:r>
            <a:r>
              <a:t>统计</a:t>
            </a:r>
          </a:p>
        </c:rich>
      </c:tx>
      <c:layout>
        <c:manualLayout>
          <c:xMode val="edge"/>
          <c:yMode val="edge"/>
          <c:x val="0.298427924327205"/>
          <c:y val="0.032684283727399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华南海鲜店!$B$11</c:f>
              <c:strCache>
                <c:ptCount val="1"/>
                <c:pt idx="0">
                  <c:v/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华南海鲜店!$C$10:$N$10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华南海鲜店!$C$11:$N$11</c:f>
              <c:numCache>
                <c:formatCode>General</c:formatCode>
                <c:ptCount val="12"/>
              </c:numCache>
            </c:numRef>
          </c:val>
          <c:smooth val="0"/>
        </c:ser>
        <c:ser>
          <c:idx val="1"/>
          <c:order val="1"/>
          <c:tx>
            <c:strRef>
              <c:f>华南海鲜店!$B$12</c:f>
              <c:strCache>
                <c:ptCount val="1"/>
                <c:pt idx="0">
                  <c:v>2016年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华南海鲜店!$C$10:$N$10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华南海鲜店!$C$12:$N$12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华南海鲜店!$B$13</c:f>
              <c:strCache>
                <c:ptCount val="1"/>
                <c:pt idx="0">
                  <c:v>2017年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华南海鲜店!$C$10:$N$10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华南海鲜店!$C$13:$N$13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华南海鲜店!$B$14</c:f>
              <c:strCache>
                <c:ptCount val="1"/>
                <c:pt idx="0">
                  <c:v>2018年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华南海鲜店!$C$10:$N$10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华南海鲜店!$C$14:$N$14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华南海鲜店!$B$15</c:f>
              <c:strCache>
                <c:ptCount val="1"/>
                <c:pt idx="0">
                  <c:v>2019年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华南海鲜店!$C$10:$N$10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华南海鲜店!$C$15:$N$15</c:f>
              <c:numCache>
                <c:formatCode>0_);[Red]\(0\)</c:formatCode>
                <c:ptCount val="12"/>
                <c:pt idx="0">
                  <c:v>1.2497</c:v>
                </c:pt>
                <c:pt idx="1">
                  <c:v>1.207</c:v>
                </c:pt>
                <c:pt idx="2">
                  <c:v>1.3272</c:v>
                </c:pt>
                <c:pt idx="3">
                  <c:v>1.3067</c:v>
                </c:pt>
                <c:pt idx="4">
                  <c:v>1.3748</c:v>
                </c:pt>
                <c:pt idx="5">
                  <c:v>1.1699</c:v>
                </c:pt>
                <c:pt idx="6">
                  <c:v>1.4154</c:v>
                </c:pt>
                <c:pt idx="7">
                  <c:v>1.1762</c:v>
                </c:pt>
                <c:pt idx="8">
                  <c:v>1.1573</c:v>
                </c:pt>
                <c:pt idx="9">
                  <c:v>1.1137</c:v>
                </c:pt>
                <c:pt idx="10">
                  <c:v>1.1929</c:v>
                </c:pt>
                <c:pt idx="11">
                  <c:v>1.5454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32998047"/>
        <c:axId val="354812730"/>
      </c:lineChart>
      <c:catAx>
        <c:axId val="9329980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4812730"/>
        <c:crosses val="autoZero"/>
        <c:auto val="1"/>
        <c:lblAlgn val="ctr"/>
        <c:lblOffset val="100"/>
        <c:noMultiLvlLbl val="0"/>
      </c:catAx>
      <c:valAx>
        <c:axId val="354812730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299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63a14d-be64-4f0d-a586-31486ccee188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201</a:t>
            </a:r>
            <a:r>
              <a:rPr lang="en-US" altLang="zh-CN"/>
              <a:t>6</a:t>
            </a:r>
            <a:r>
              <a:t>年-2019年</a:t>
            </a:r>
            <a:r>
              <a:rPr lang="en-US" altLang="zh-CN">
                <a:solidFill>
                  <a:srgbClr val="FF0000"/>
                </a:solidFill>
              </a:rPr>
              <a:t>AC</a:t>
            </a:r>
            <a:r>
              <a:t>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华南海鲜店!$B$19</c:f>
              <c:strCache>
                <c:ptCount val="1"/>
                <c:pt idx="0">
                  <c:v/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华南海鲜店!$C$18:$N$18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华南海鲜店!$C$19:$N$19</c:f>
              <c:numCache>
                <c:formatCode>General</c:formatCode>
                <c:ptCount val="12"/>
              </c:numCache>
            </c:numRef>
          </c:val>
          <c:smooth val="0"/>
        </c:ser>
        <c:ser>
          <c:idx val="1"/>
          <c:order val="1"/>
          <c:tx>
            <c:strRef>
              <c:f>华南海鲜店!$B$20</c:f>
              <c:strCache>
                <c:ptCount val="1"/>
                <c:pt idx="0">
                  <c:v>2016年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华南海鲜店!$C$18:$N$18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华南海鲜店!$C$20:$N$20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华南海鲜店!$B$21</c:f>
              <c:strCache>
                <c:ptCount val="1"/>
                <c:pt idx="0">
                  <c:v>2017年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华南海鲜店!$C$18:$N$18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华南海鲜店!$C$21:$N$21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华南海鲜店!$B$22</c:f>
              <c:strCache>
                <c:ptCount val="1"/>
                <c:pt idx="0">
                  <c:v>2018年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华南海鲜店!$C$18:$N$18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华南海鲜店!$C$22:$N$22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华南海鲜店!$B$23</c:f>
              <c:strCache>
                <c:ptCount val="1"/>
                <c:pt idx="0">
                  <c:v>2019年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华南海鲜店!$C$18:$N$18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华南海鲜店!$C$23:$N$23</c:f>
              <c:numCache>
                <c:formatCode>0.00_);[Red]\(0.00\)</c:formatCode>
                <c:ptCount val="12"/>
                <c:pt idx="0">
                  <c:v>9.34772905497319</c:v>
                </c:pt>
                <c:pt idx="1">
                  <c:v>9.49441590720795</c:v>
                </c:pt>
                <c:pt idx="2">
                  <c:v>9.27023056057866</c:v>
                </c:pt>
                <c:pt idx="3">
                  <c:v>9.19483125430474</c:v>
                </c:pt>
                <c:pt idx="4">
                  <c:v>9.35672025021821</c:v>
                </c:pt>
                <c:pt idx="5">
                  <c:v>9.28898794768784</c:v>
                </c:pt>
                <c:pt idx="6">
                  <c:v>9.35390843577787</c:v>
                </c:pt>
                <c:pt idx="7">
                  <c:v>9.44236949498385</c:v>
                </c:pt>
                <c:pt idx="8">
                  <c:v>8.94114058584637</c:v>
                </c:pt>
                <c:pt idx="9">
                  <c:v>9.3513639220616</c:v>
                </c:pt>
                <c:pt idx="10">
                  <c:v>9.40202699304217</c:v>
                </c:pt>
                <c:pt idx="11">
                  <c:v>9.64455157240844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59271010"/>
        <c:axId val="375320384"/>
      </c:lineChart>
      <c:catAx>
        <c:axId val="8592710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320384"/>
        <c:crosses val="autoZero"/>
        <c:auto val="1"/>
        <c:lblAlgn val="ctr"/>
        <c:lblOffset val="100"/>
        <c:noMultiLvlLbl val="0"/>
      </c:catAx>
      <c:valAx>
        <c:axId val="375320384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92710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3d3ba6-fbb6-4fcb-b09c-4557fb7cc808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2019年</a:t>
            </a:r>
            <a:r>
              <a:rPr>
                <a:solidFill>
                  <a:srgbClr val="FF0000"/>
                </a:solidFill>
              </a:rPr>
              <a:t>营业额同比</a:t>
            </a:r>
            <a:r>
              <a:t>数据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华南海鲜店!$B$27</c:f>
              <c:strCache>
                <c:ptCount val="1"/>
                <c:pt idx="0">
                  <c:v/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华南海鲜店!$C$26:$N$26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华南海鲜店!$C$27:$N$27</c:f>
              <c:numCache>
                <c:formatCode>General</c:formatCode>
                <c:ptCount val="12"/>
              </c:numCache>
            </c:numRef>
          </c:val>
          <c:smooth val="0"/>
        </c:ser>
        <c:ser>
          <c:idx val="1"/>
          <c:order val="1"/>
          <c:tx>
            <c:strRef>
              <c:f>华南海鲜店!$B$28</c:f>
              <c:strCache>
                <c:ptCount val="1"/>
                <c:pt idx="0">
                  <c:v>2016年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华南海鲜店!$C$26:$N$26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华南海鲜店!$C$28:$N$28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华南海鲜店!$B$29</c:f>
              <c:strCache>
                <c:ptCount val="1"/>
                <c:pt idx="0">
                  <c:v>2017年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华南海鲜店!$C$26:$N$26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华南海鲜店!$C$29:$N$29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华南海鲜店!$B$30</c:f>
              <c:strCache>
                <c:ptCount val="1"/>
                <c:pt idx="0">
                  <c:v>2018年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华南海鲜店!$C$26:$N$26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华南海鲜店!$C$30:$N$30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82336899"/>
        <c:axId val="685092022"/>
      </c:lineChart>
      <c:catAx>
        <c:axId val="7823368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092022"/>
        <c:crosses val="autoZero"/>
        <c:auto val="1"/>
        <c:lblAlgn val="ctr"/>
        <c:lblOffset val="100"/>
        <c:noMultiLvlLbl val="0"/>
      </c:catAx>
      <c:valAx>
        <c:axId val="68509202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23368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afaf17-93a7-4e36-a868-7f6730913a60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2019年</a:t>
            </a:r>
            <a:r>
              <a:rPr lang="en-US" altLang="zh-CN">
                <a:solidFill>
                  <a:srgbClr val="FF0000"/>
                </a:solidFill>
              </a:rPr>
              <a:t>TC</a:t>
            </a:r>
            <a:r>
              <a:rPr altLang="en-US">
                <a:solidFill>
                  <a:srgbClr val="FF0000"/>
                </a:solidFill>
              </a:rPr>
              <a:t>同比</a:t>
            </a:r>
            <a:r>
              <a:t>数据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华南海鲜店!$B$34</c:f>
              <c:strCache>
                <c:ptCount val="1"/>
                <c:pt idx="0">
                  <c:v/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华南海鲜店!$C$33:$N$33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华南海鲜店!$C$34:$N$34</c:f>
              <c:numCache>
                <c:formatCode>General</c:formatCode>
                <c:ptCount val="12"/>
              </c:numCache>
            </c:numRef>
          </c:val>
          <c:smooth val="0"/>
        </c:ser>
        <c:ser>
          <c:idx val="1"/>
          <c:order val="1"/>
          <c:tx>
            <c:strRef>
              <c:f>华南海鲜店!$B$35</c:f>
              <c:strCache>
                <c:ptCount val="1"/>
                <c:pt idx="0">
                  <c:v>2016年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华南海鲜店!$C$33:$N$33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华南海鲜店!$C$35:$N$35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华南海鲜店!$B$36</c:f>
              <c:strCache>
                <c:ptCount val="1"/>
                <c:pt idx="0">
                  <c:v>2017年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华南海鲜店!$C$33:$N$33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华南海鲜店!$C$36:$N$36</c:f>
              <c:numCache>
                <c:formatCode>0.00%</c:formatCode>
                <c:ptCount val="12"/>
                <c:pt idx="0">
                  <c:v>0</c:v>
                </c:pt>
                <c:pt idx="1" c:formatCode="0%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华南海鲜店!$B$37</c:f>
              <c:strCache>
                <c:ptCount val="1"/>
                <c:pt idx="0">
                  <c:v>2018年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华南海鲜店!$C$33:$N$33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华南海鲜店!$C$37:$N$37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2276524"/>
        <c:axId val="752334487"/>
      </c:lineChart>
      <c:catAx>
        <c:axId val="8922765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2334487"/>
        <c:crosses val="autoZero"/>
        <c:auto val="1"/>
        <c:lblAlgn val="ctr"/>
        <c:lblOffset val="100"/>
        <c:noMultiLvlLbl val="0"/>
      </c:catAx>
      <c:valAx>
        <c:axId val="7523344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2765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795d61-103b-469d-ab7e-8fe79c800c9e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2019年</a:t>
            </a:r>
            <a:r>
              <a:rPr lang="en-US" altLang="zh-CN">
                <a:solidFill>
                  <a:srgbClr val="FF0000"/>
                </a:solidFill>
              </a:rPr>
              <a:t>AC</a:t>
            </a:r>
            <a:r>
              <a:rPr altLang="en-US">
                <a:solidFill>
                  <a:srgbClr val="FF0000"/>
                </a:solidFill>
              </a:rPr>
              <a:t>对比</a:t>
            </a:r>
            <a:r>
              <a:rPr altLang="en-US">
                <a:solidFill>
                  <a:schemeClr val="bg2"/>
                </a:solidFill>
              </a:rPr>
              <a:t>数据</a:t>
            </a:r>
            <a:endParaRPr altLang="en-US">
              <a:solidFill>
                <a:schemeClr val="bg2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华南海鲜店!$B$41</c:f>
              <c:strCache>
                <c:ptCount val="1"/>
                <c:pt idx="0">
                  <c:v/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华南海鲜店!$C$40:$N$40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华南海鲜店!$C$41:$N$41</c:f>
              <c:numCache>
                <c:formatCode>General</c:formatCode>
                <c:ptCount val="12"/>
              </c:numCache>
            </c:numRef>
          </c:val>
          <c:smooth val="0"/>
        </c:ser>
        <c:ser>
          <c:idx val="1"/>
          <c:order val="1"/>
          <c:tx>
            <c:strRef>
              <c:f>华南海鲜店!$B$42</c:f>
              <c:strCache>
                <c:ptCount val="1"/>
                <c:pt idx="0">
                  <c:v>2016年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华南海鲜店!$C$40:$N$40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华南海鲜店!$C$42:$N$42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华南海鲜店!$B$43</c:f>
              <c:strCache>
                <c:ptCount val="1"/>
                <c:pt idx="0">
                  <c:v>2017年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华南海鲜店!$C$40:$N$40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华南海鲜店!$C$43:$N$43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华南海鲜店!$B$44</c:f>
              <c:strCache>
                <c:ptCount val="1"/>
                <c:pt idx="0">
                  <c:v>2018年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华南海鲜店!$C$40:$N$40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华南海鲜店!$C$44:$N$44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805032"/>
        <c:axId val="133392099"/>
      </c:lineChart>
      <c:catAx>
        <c:axId val="7548050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392099"/>
        <c:crosses val="autoZero"/>
        <c:auto val="1"/>
        <c:lblAlgn val="ctr"/>
        <c:lblOffset val="100"/>
        <c:noMultiLvlLbl val="0"/>
      </c:catAx>
      <c:valAx>
        <c:axId val="133392099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805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4ef5cb-f0c1-439e-ac5e-1ec5a46ad47c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步行街店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'2025年门店销售时段分析'!$B$4</c:f>
              <c:strCache>
                <c:ptCount val="1"/>
                <c:pt idx="0">
                  <c:v>时段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'2025年门店销售时段分析'!$C$3:$V$3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'2025年门店销售时段分析'!$C$4:$V$4</c:f>
              <c:numCache>
                <c:formatCode>#,##0.00_);[Red]\(#,##0.00\)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'2025年门店销售时段分析'!$B$5</c:f>
              <c:strCache>
                <c:ptCount val="1"/>
                <c:pt idx="0">
                  <c:v>1月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'2025年门店销售时段分析'!$C$3:$V$3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'2025年门店销售时段分析'!$C$5:$V$5</c:f>
              <c:numCache>
                <c:formatCode>#,##0.00;"-"#,##0.00;#,##0.00;General</c:formatCode>
                <c:ptCount val="20"/>
                <c:pt idx="1">
                  <c:v>264.5</c:v>
                </c:pt>
                <c:pt idx="2">
                  <c:v>2174.5</c:v>
                </c:pt>
                <c:pt idx="3">
                  <c:v>15392.5</c:v>
                </c:pt>
                <c:pt idx="4">
                  <c:v>25286.78</c:v>
                </c:pt>
                <c:pt idx="5">
                  <c:v>18670.5</c:v>
                </c:pt>
                <c:pt idx="6">
                  <c:v>11735.52</c:v>
                </c:pt>
                <c:pt idx="7">
                  <c:v>8210.94</c:v>
                </c:pt>
                <c:pt idx="8">
                  <c:v>18622</c:v>
                </c:pt>
                <c:pt idx="9">
                  <c:v>5153.83</c:v>
                </c:pt>
                <c:pt idx="10">
                  <c:v>2276.5</c:v>
                </c:pt>
                <c:pt idx="11">
                  <c:v>1248.5</c:v>
                </c:pt>
                <c:pt idx="12">
                  <c:v>1062</c:v>
                </c:pt>
                <c:pt idx="13">
                  <c:v>2878</c:v>
                </c:pt>
                <c:pt idx="14">
                  <c:v>2421.5</c:v>
                </c:pt>
                <c:pt idx="15">
                  <c:v>922</c:v>
                </c:pt>
                <c:pt idx="16">
                  <c:v>496</c:v>
                </c:pt>
                <c:pt idx="17">
                  <c:v>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'2025年门店销售时段分析'!$B$6</c:f>
              <c:strCache>
                <c:ptCount val="1"/>
                <c:pt idx="0">
                  <c:v>2月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'2025年门店销售时段分析'!$C$3:$V$3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'2025年门店销售时段分析'!$C$6:$V$6</c:f>
              <c:numCache>
                <c:formatCode>#,##0.00;"-"#,##0.00;#,##0.00;General</c:formatCode>
                <c:ptCount val="20"/>
                <c:pt idx="1">
                  <c:v>258</c:v>
                </c:pt>
                <c:pt idx="2">
                  <c:v>2750</c:v>
                </c:pt>
                <c:pt idx="3">
                  <c:v>15147.67</c:v>
                </c:pt>
                <c:pt idx="4">
                  <c:v>23655.43</c:v>
                </c:pt>
                <c:pt idx="5">
                  <c:v>17627</c:v>
                </c:pt>
                <c:pt idx="6">
                  <c:v>11096</c:v>
                </c:pt>
                <c:pt idx="7">
                  <c:v>8265</c:v>
                </c:pt>
                <c:pt idx="8">
                  <c:v>17072</c:v>
                </c:pt>
                <c:pt idx="9">
                  <c:v>5334</c:v>
                </c:pt>
                <c:pt idx="10">
                  <c:v>2021.5</c:v>
                </c:pt>
                <c:pt idx="11">
                  <c:v>1587</c:v>
                </c:pt>
                <c:pt idx="12">
                  <c:v>1880</c:v>
                </c:pt>
                <c:pt idx="13">
                  <c:v>3479</c:v>
                </c:pt>
                <c:pt idx="14">
                  <c:v>2673.5</c:v>
                </c:pt>
                <c:pt idx="15">
                  <c:v>1255.5</c:v>
                </c:pt>
                <c:pt idx="16">
                  <c:v>460</c:v>
                </c:pt>
                <c:pt idx="17">
                  <c:v>36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'2025年门店销售时段分析'!$B$7</c:f>
              <c:strCache>
                <c:ptCount val="1"/>
                <c:pt idx="0">
                  <c:v>3月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'2025年门店销售时段分析'!$C$3:$V$3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'2025年门店销售时段分析'!$C$7:$V$7</c:f>
              <c:numCache>
                <c:formatCode>#,##0.00;"-"#,##0.00;#,##0.00;General</c:formatCode>
                <c:ptCount val="20"/>
                <c:pt idx="1">
                  <c:v>165.5</c:v>
                </c:pt>
                <c:pt idx="2">
                  <c:v>4262</c:v>
                </c:pt>
                <c:pt idx="3">
                  <c:v>19091.5</c:v>
                </c:pt>
                <c:pt idx="4">
                  <c:v>28832</c:v>
                </c:pt>
                <c:pt idx="5">
                  <c:v>18617</c:v>
                </c:pt>
                <c:pt idx="6">
                  <c:v>10288</c:v>
                </c:pt>
                <c:pt idx="7">
                  <c:v>7918</c:v>
                </c:pt>
                <c:pt idx="8">
                  <c:v>17233.5</c:v>
                </c:pt>
                <c:pt idx="9">
                  <c:v>4183</c:v>
                </c:pt>
                <c:pt idx="10">
                  <c:v>1714</c:v>
                </c:pt>
                <c:pt idx="11">
                  <c:v>1121</c:v>
                </c:pt>
                <c:pt idx="12">
                  <c:v>1502.5</c:v>
                </c:pt>
                <c:pt idx="13">
                  <c:v>3122.5</c:v>
                </c:pt>
                <c:pt idx="14">
                  <c:v>3018.5</c:v>
                </c:pt>
                <c:pt idx="15">
                  <c:v>1228</c:v>
                </c:pt>
                <c:pt idx="16">
                  <c:v>620.5</c:v>
                </c:pt>
                <c:pt idx="17">
                  <c:v>117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'2025年门店销售时段分析'!$B$8</c:f>
              <c:strCache>
                <c:ptCount val="1"/>
                <c:pt idx="0">
                  <c:v>4月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'2025年门店销售时段分析'!$C$3:$V$3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'2025年门店销售时段分析'!$C$8:$V$8</c:f>
              <c:numCache>
                <c:formatCode>#,##0.00;"-"#,##0.00;#,##0.00;General</c:formatCode>
                <c:ptCount val="20"/>
                <c:pt idx="1">
                  <c:v>115.5</c:v>
                </c:pt>
                <c:pt idx="2">
                  <c:v>5829.6</c:v>
                </c:pt>
                <c:pt idx="3">
                  <c:v>22408.5</c:v>
                </c:pt>
                <c:pt idx="4">
                  <c:v>28930.4</c:v>
                </c:pt>
                <c:pt idx="5">
                  <c:v>16214.4</c:v>
                </c:pt>
                <c:pt idx="6">
                  <c:v>8339</c:v>
                </c:pt>
                <c:pt idx="7">
                  <c:v>7238.96</c:v>
                </c:pt>
                <c:pt idx="8">
                  <c:v>15651</c:v>
                </c:pt>
                <c:pt idx="9">
                  <c:v>3843.5</c:v>
                </c:pt>
                <c:pt idx="10">
                  <c:v>1810</c:v>
                </c:pt>
                <c:pt idx="11">
                  <c:v>941.5</c:v>
                </c:pt>
                <c:pt idx="12">
                  <c:v>1167.5</c:v>
                </c:pt>
                <c:pt idx="13">
                  <c:v>3195</c:v>
                </c:pt>
                <c:pt idx="14">
                  <c:v>2701</c:v>
                </c:pt>
                <c:pt idx="15">
                  <c:v>1001.5</c:v>
                </c:pt>
                <c:pt idx="16">
                  <c:v>730.5</c:v>
                </c:pt>
                <c:pt idx="17">
                  <c:v>31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'2025年门店销售时段分析'!$B$9</c:f>
              <c:strCache>
                <c:ptCount val="1"/>
                <c:pt idx="0">
                  <c:v>5月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'2025年门店销售时段分析'!$C$3:$V$3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'2025年门店销售时段分析'!$C$9:$V$9</c:f>
              <c:numCache>
                <c:formatCode>#,##0.00;"-"#,##0.00;#,##0.00;General</c:formatCode>
                <c:ptCount val="20"/>
                <c:pt idx="0">
                  <c:v>12.5</c:v>
                </c:pt>
                <c:pt idx="1">
                  <c:v>721.09</c:v>
                </c:pt>
                <c:pt idx="2">
                  <c:v>6809.73</c:v>
                </c:pt>
                <c:pt idx="3">
                  <c:v>24325.97</c:v>
                </c:pt>
                <c:pt idx="4">
                  <c:v>31840.22</c:v>
                </c:pt>
                <c:pt idx="5">
                  <c:v>18028.7</c:v>
                </c:pt>
                <c:pt idx="6">
                  <c:v>9503.7</c:v>
                </c:pt>
                <c:pt idx="7">
                  <c:v>6515.41</c:v>
                </c:pt>
                <c:pt idx="8">
                  <c:v>14189.24</c:v>
                </c:pt>
                <c:pt idx="9">
                  <c:v>4380.56</c:v>
                </c:pt>
                <c:pt idx="10">
                  <c:v>1428.77</c:v>
                </c:pt>
                <c:pt idx="11">
                  <c:v>1130.17</c:v>
                </c:pt>
                <c:pt idx="12">
                  <c:v>1199</c:v>
                </c:pt>
                <c:pt idx="13">
                  <c:v>3209.5</c:v>
                </c:pt>
                <c:pt idx="14">
                  <c:v>3157.63</c:v>
                </c:pt>
                <c:pt idx="15">
                  <c:v>1374.5</c:v>
                </c:pt>
                <c:pt idx="16">
                  <c:v>803.5</c:v>
                </c:pt>
                <c:pt idx="17">
                  <c:v>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'2025年门店销售时段分析'!$B$10</c:f>
              <c:strCache>
                <c:ptCount val="1"/>
                <c:pt idx="0">
                  <c:v>6月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'2025年门店销售时段分析'!$C$3:$V$3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'2025年门店销售时段分析'!$C$10:$V$10</c:f>
              <c:numCache>
                <c:formatCode>#,##0.00;"-"#,##0.00;#,##0.00;General</c:formatCode>
                <c:ptCount val="20"/>
                <c:pt idx="0">
                  <c:v>76</c:v>
                </c:pt>
                <c:pt idx="1">
                  <c:v>237</c:v>
                </c:pt>
                <c:pt idx="2">
                  <c:v>6248.32</c:v>
                </c:pt>
                <c:pt idx="3">
                  <c:v>20342.54</c:v>
                </c:pt>
                <c:pt idx="4">
                  <c:v>25817.63</c:v>
                </c:pt>
                <c:pt idx="5">
                  <c:v>15211.6</c:v>
                </c:pt>
                <c:pt idx="6">
                  <c:v>8667.78</c:v>
                </c:pt>
                <c:pt idx="7">
                  <c:v>5364.97</c:v>
                </c:pt>
                <c:pt idx="8">
                  <c:v>12515.88</c:v>
                </c:pt>
                <c:pt idx="9">
                  <c:v>3337.89</c:v>
                </c:pt>
                <c:pt idx="10">
                  <c:v>1323</c:v>
                </c:pt>
                <c:pt idx="11">
                  <c:v>810.04</c:v>
                </c:pt>
                <c:pt idx="12">
                  <c:v>1241.5</c:v>
                </c:pt>
                <c:pt idx="13">
                  <c:v>2725.5</c:v>
                </c:pt>
                <c:pt idx="14">
                  <c:v>2469.72</c:v>
                </c:pt>
                <c:pt idx="15">
                  <c:v>1459.5</c:v>
                </c:pt>
                <c:pt idx="16">
                  <c:v>794</c:v>
                </c:pt>
                <c:pt idx="17">
                  <c:v>29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'2025年门店销售时段分析'!$B$11</c:f>
              <c:strCache>
                <c:ptCount val="1"/>
                <c:pt idx="0">
                  <c:v>7月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'2025年门店销售时段分析'!$C$3:$V$3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'2025年门店销售时段分析'!$C$11:$V$11</c:f>
              <c:numCache>
                <c:formatCode>#,##0.00;"-"#,##0.00;#,##0.00;General</c:formatCode>
                <c:ptCount val="20"/>
                <c:pt idx="0">
                  <c:v>25</c:v>
                </c:pt>
                <c:pt idx="1">
                  <c:v>427</c:v>
                </c:pt>
                <c:pt idx="2">
                  <c:v>6236.8</c:v>
                </c:pt>
                <c:pt idx="3">
                  <c:v>28319.21</c:v>
                </c:pt>
                <c:pt idx="4">
                  <c:v>31319.13</c:v>
                </c:pt>
                <c:pt idx="5">
                  <c:v>19147.36</c:v>
                </c:pt>
                <c:pt idx="6">
                  <c:v>9920.23</c:v>
                </c:pt>
                <c:pt idx="7">
                  <c:v>5705.98</c:v>
                </c:pt>
                <c:pt idx="8">
                  <c:v>16664.47</c:v>
                </c:pt>
                <c:pt idx="9">
                  <c:v>3426.17</c:v>
                </c:pt>
                <c:pt idx="10">
                  <c:v>1034.19</c:v>
                </c:pt>
                <c:pt idx="11">
                  <c:v>892.4</c:v>
                </c:pt>
                <c:pt idx="12">
                  <c:v>794.23</c:v>
                </c:pt>
                <c:pt idx="13">
                  <c:v>2264.04</c:v>
                </c:pt>
                <c:pt idx="14">
                  <c:v>3094.43</c:v>
                </c:pt>
                <c:pt idx="15">
                  <c:v>2106.01</c:v>
                </c:pt>
                <c:pt idx="16">
                  <c:v>925.57</c:v>
                </c:pt>
                <c:pt idx="17">
                  <c:v>93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'2025年门店销售时段分析'!$B$12</c:f>
              <c:strCache>
                <c:ptCount val="1"/>
                <c:pt idx="0">
                  <c:v>8月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'2025年门店销售时段分析'!$C$3:$V$3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'2025年门店销售时段分析'!$C$12:$V$12</c:f>
              <c:numCache>
                <c:formatCode>#,##0.00;"-"#,##0.00;#,##0.00;General</c:formatCode>
                <c:ptCount val="20"/>
                <c:pt idx="0">
                  <c:v>8</c:v>
                </c:pt>
                <c:pt idx="1">
                  <c:v>361.5</c:v>
                </c:pt>
                <c:pt idx="2">
                  <c:v>5967.07</c:v>
                </c:pt>
                <c:pt idx="3">
                  <c:v>20438.52</c:v>
                </c:pt>
                <c:pt idx="4">
                  <c:v>28277.4</c:v>
                </c:pt>
                <c:pt idx="5">
                  <c:v>17669.58</c:v>
                </c:pt>
                <c:pt idx="6">
                  <c:v>8412.23</c:v>
                </c:pt>
                <c:pt idx="7">
                  <c:v>5673.53</c:v>
                </c:pt>
                <c:pt idx="8">
                  <c:v>12408.1</c:v>
                </c:pt>
                <c:pt idx="9">
                  <c:v>3044.23</c:v>
                </c:pt>
                <c:pt idx="10">
                  <c:v>1153.83</c:v>
                </c:pt>
                <c:pt idx="11">
                  <c:v>894.67</c:v>
                </c:pt>
                <c:pt idx="12">
                  <c:v>588.4</c:v>
                </c:pt>
                <c:pt idx="13">
                  <c:v>1684.5</c:v>
                </c:pt>
                <c:pt idx="14">
                  <c:v>2198.36</c:v>
                </c:pt>
                <c:pt idx="15">
                  <c:v>1612.73</c:v>
                </c:pt>
                <c:pt idx="16">
                  <c:v>647</c:v>
                </c:pt>
                <c:pt idx="17">
                  <c:v>21.5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'2025年门店销售时段分析'!$B$13</c:f>
              <c:strCache>
                <c:ptCount val="1"/>
                <c:pt idx="0">
                  <c:v>9月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'2025年门店销售时段分析'!$C$3:$V$3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'2025年门店销售时段分析'!$C$13:$V$13</c:f>
              <c:numCache>
                <c:formatCode>#,##0.00;"-"#,##0.00;#,##0.00;General</c:formatCode>
                <c:ptCount val="20"/>
                <c:pt idx="0">
                  <c:v>4</c:v>
                </c:pt>
                <c:pt idx="1">
                  <c:v>392</c:v>
                </c:pt>
                <c:pt idx="2">
                  <c:v>7341.28</c:v>
                </c:pt>
                <c:pt idx="3">
                  <c:v>19680.84</c:v>
                </c:pt>
                <c:pt idx="4">
                  <c:v>24741.73</c:v>
                </c:pt>
                <c:pt idx="5">
                  <c:v>13192.66</c:v>
                </c:pt>
                <c:pt idx="6">
                  <c:v>6821.4</c:v>
                </c:pt>
                <c:pt idx="7">
                  <c:v>7021.6</c:v>
                </c:pt>
                <c:pt idx="8">
                  <c:v>11512.8</c:v>
                </c:pt>
                <c:pt idx="9">
                  <c:v>3110.2</c:v>
                </c:pt>
                <c:pt idx="10">
                  <c:v>1175.1</c:v>
                </c:pt>
                <c:pt idx="11">
                  <c:v>835</c:v>
                </c:pt>
                <c:pt idx="12">
                  <c:v>854.2</c:v>
                </c:pt>
                <c:pt idx="13">
                  <c:v>2829.6</c:v>
                </c:pt>
                <c:pt idx="14">
                  <c:v>1954.05</c:v>
                </c:pt>
                <c:pt idx="15">
                  <c:v>1283.8</c:v>
                </c:pt>
                <c:pt idx="16">
                  <c:v>726.4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'2025年门店销售时段分析'!$B$14</c:f>
              <c:strCache>
                <c:ptCount val="1"/>
                <c:pt idx="0">
                  <c:v>10月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'2025年门店销售时段分析'!$C$3:$V$3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'2025年门店销售时段分析'!$C$14:$V$14</c:f>
              <c:numCache>
                <c:formatCode>#,##0.00;"-"#,##0.00;#,##0.00;General</c:formatCode>
                <c:ptCount val="20"/>
                <c:pt idx="0">
                  <c:v>8</c:v>
                </c:pt>
                <c:pt idx="1">
                  <c:v>329.5</c:v>
                </c:pt>
                <c:pt idx="2">
                  <c:v>5229.6</c:v>
                </c:pt>
                <c:pt idx="3">
                  <c:v>18517.43</c:v>
                </c:pt>
                <c:pt idx="4">
                  <c:v>24164.8</c:v>
                </c:pt>
                <c:pt idx="5">
                  <c:v>16067.23</c:v>
                </c:pt>
                <c:pt idx="6">
                  <c:v>6784.77</c:v>
                </c:pt>
                <c:pt idx="7">
                  <c:v>7761.2</c:v>
                </c:pt>
                <c:pt idx="8">
                  <c:v>12941.1</c:v>
                </c:pt>
                <c:pt idx="9">
                  <c:v>3129.63</c:v>
                </c:pt>
                <c:pt idx="10">
                  <c:v>1180.1</c:v>
                </c:pt>
                <c:pt idx="11">
                  <c:v>1114.3</c:v>
                </c:pt>
                <c:pt idx="12">
                  <c:v>1116.2</c:v>
                </c:pt>
                <c:pt idx="13">
                  <c:v>2211.7</c:v>
                </c:pt>
                <c:pt idx="14">
                  <c:v>2023.43</c:v>
                </c:pt>
                <c:pt idx="15">
                  <c:v>1043.65</c:v>
                </c:pt>
                <c:pt idx="16">
                  <c:v>517.5</c:v>
                </c:pt>
                <c:pt idx="17">
                  <c:v>6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'2025年门店销售时段分析'!$B$15</c:f>
              <c:strCache>
                <c:ptCount val="1"/>
                <c:pt idx="0">
                  <c:v>11月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'2025年门店销售时段分析'!$C$3:$V$3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'2025年门店销售时段分析'!$C$15:$V$15</c:f>
              <c:numCache>
                <c:formatCode>#,##0.00;"-"#,##0.00;#,##0.00;General</c:formatCode>
                <c:ptCount val="20"/>
                <c:pt idx="1">
                  <c:v>147</c:v>
                </c:pt>
                <c:pt idx="2">
                  <c:v>3470.1</c:v>
                </c:pt>
                <c:pt idx="3">
                  <c:v>18834.2</c:v>
                </c:pt>
                <c:pt idx="4">
                  <c:v>24647.63</c:v>
                </c:pt>
                <c:pt idx="5">
                  <c:v>17710.23</c:v>
                </c:pt>
                <c:pt idx="6">
                  <c:v>8751</c:v>
                </c:pt>
                <c:pt idx="7">
                  <c:v>6904.24</c:v>
                </c:pt>
                <c:pt idx="8">
                  <c:v>17161.9</c:v>
                </c:pt>
                <c:pt idx="9">
                  <c:v>4295.2</c:v>
                </c:pt>
                <c:pt idx="10">
                  <c:v>1492.5</c:v>
                </c:pt>
                <c:pt idx="11">
                  <c:v>1197.4</c:v>
                </c:pt>
                <c:pt idx="12">
                  <c:v>1216.2</c:v>
                </c:pt>
                <c:pt idx="13">
                  <c:v>3019.6</c:v>
                </c:pt>
                <c:pt idx="14">
                  <c:v>2196.15</c:v>
                </c:pt>
                <c:pt idx="15">
                  <c:v>725.43</c:v>
                </c:pt>
                <c:pt idx="16">
                  <c:v>349</c:v>
                </c:pt>
                <c:pt idx="17">
                  <c:v>39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'2025年门店销售时段分析'!$B$16</c:f>
              <c:strCache>
                <c:ptCount val="1"/>
                <c:pt idx="0">
                  <c:v>12月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'2025年门店销售时段分析'!$C$3:$V$3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'2025年门店销售时段分析'!$C$16:$V$16</c:f>
              <c:numCache>
                <c:formatCode>#,##0.00;"-"#,##0.00;#,##0.00;General</c:formatCode>
                <c:ptCount val="20"/>
                <c:pt idx="0">
                  <c:v>42</c:v>
                </c:pt>
                <c:pt idx="1">
                  <c:v>3490.6</c:v>
                </c:pt>
                <c:pt idx="2">
                  <c:v>23384</c:v>
                </c:pt>
                <c:pt idx="3">
                  <c:v>33219.53</c:v>
                </c:pt>
                <c:pt idx="4">
                  <c:v>22725.18</c:v>
                </c:pt>
                <c:pt idx="5">
                  <c:v>10853.49</c:v>
                </c:pt>
                <c:pt idx="6">
                  <c:v>10542.65</c:v>
                </c:pt>
                <c:pt idx="7">
                  <c:v>23942.3</c:v>
                </c:pt>
                <c:pt idx="8">
                  <c:v>6292.9</c:v>
                </c:pt>
                <c:pt idx="9">
                  <c:v>2399.69</c:v>
                </c:pt>
                <c:pt idx="10">
                  <c:v>1395.9</c:v>
                </c:pt>
                <c:pt idx="11">
                  <c:v>1643.9</c:v>
                </c:pt>
                <c:pt idx="12">
                  <c:v>3987.5</c:v>
                </c:pt>
                <c:pt idx="13">
                  <c:v>3338.23</c:v>
                </c:pt>
                <c:pt idx="14">
                  <c:v>1152.03</c:v>
                </c:pt>
                <c:pt idx="15">
                  <c:v>610</c:v>
                </c:pt>
                <c:pt idx="16">
                  <c:v>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51061552"/>
        <c:axId val="500665369"/>
      </c:lineChart>
      <c:catAx>
        <c:axId val="851061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665369"/>
        <c:crosses val="autoZero"/>
        <c:auto val="1"/>
        <c:lblAlgn val="ctr"/>
        <c:lblOffset val="100"/>
        <c:noMultiLvlLbl val="0"/>
      </c:catAx>
      <c:valAx>
        <c:axId val="5006653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06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十一小区店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'2025年门店销售时段分析'!$B$22</c:f>
              <c:strCache>
                <c:ptCount val="1"/>
                <c:pt idx="0">
                  <c:v>时段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'2025年门店销售时段分析'!$C$21:$V$21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'2025年门店销售时段分析'!$C$22:$V$22</c:f>
              <c:numCache>
                <c:formatCode>#,##0.00_);[Red]\(#,##0.00\)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c:formatCode="General">
                  <c:v>0</c:v>
                </c:pt>
                <c:pt idx="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'2025年门店销售时段分析'!$B$23</c:f>
              <c:strCache>
                <c:ptCount val="1"/>
                <c:pt idx="0">
                  <c:v>1月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'2025年门店销售时段分析'!$C$21:$V$21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'2025年门店销售时段分析'!$C$23:$V$23</c:f>
              <c:numCache>
                <c:formatCode>#,##0.00;"-"#,##0.00;#,##0.00;General</c:formatCode>
                <c:ptCount val="20"/>
                <c:pt idx="1">
                  <c:v>431</c:v>
                </c:pt>
                <c:pt idx="2">
                  <c:v>3907.18</c:v>
                </c:pt>
                <c:pt idx="3">
                  <c:v>16656.16</c:v>
                </c:pt>
                <c:pt idx="4">
                  <c:v>24798.2</c:v>
                </c:pt>
                <c:pt idx="5">
                  <c:v>21532.16</c:v>
                </c:pt>
                <c:pt idx="6">
                  <c:v>11458.45</c:v>
                </c:pt>
                <c:pt idx="7">
                  <c:v>7568.13</c:v>
                </c:pt>
                <c:pt idx="8">
                  <c:v>10546.73</c:v>
                </c:pt>
                <c:pt idx="9">
                  <c:v>4454.19</c:v>
                </c:pt>
                <c:pt idx="10">
                  <c:v>2485.65</c:v>
                </c:pt>
                <c:pt idx="11">
                  <c:v>806.63</c:v>
                </c:pt>
                <c:pt idx="12">
                  <c:v>661</c:v>
                </c:pt>
                <c:pt idx="13">
                  <c:v>1640.28</c:v>
                </c:pt>
                <c:pt idx="14">
                  <c:v>2079.14</c:v>
                </c:pt>
                <c:pt idx="15">
                  <c:v>1264.7</c:v>
                </c:pt>
                <c:pt idx="16">
                  <c:v>200.5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'2025年门店销售时段分析'!$B$24</c:f>
              <c:strCache>
                <c:ptCount val="1"/>
                <c:pt idx="0">
                  <c:v>2月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'2025年门店销售时段分析'!$C$21:$V$21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'2025年门店销售时段分析'!$C$24:$V$24</c:f>
              <c:numCache>
                <c:formatCode>#,##0.00;"-"#,##0.00;#,##0.00;General</c:formatCode>
                <c:ptCount val="20"/>
                <c:pt idx="1">
                  <c:v>311.5</c:v>
                </c:pt>
                <c:pt idx="2">
                  <c:v>3373</c:v>
                </c:pt>
                <c:pt idx="3">
                  <c:v>17880.69</c:v>
                </c:pt>
                <c:pt idx="4">
                  <c:v>23761.3</c:v>
                </c:pt>
                <c:pt idx="5">
                  <c:v>19505.04</c:v>
                </c:pt>
                <c:pt idx="6">
                  <c:v>10324.71</c:v>
                </c:pt>
                <c:pt idx="7">
                  <c:v>9324.11</c:v>
                </c:pt>
                <c:pt idx="8">
                  <c:v>12928.38</c:v>
                </c:pt>
                <c:pt idx="9">
                  <c:v>5424.71</c:v>
                </c:pt>
                <c:pt idx="10">
                  <c:v>2220.32</c:v>
                </c:pt>
                <c:pt idx="11">
                  <c:v>1342</c:v>
                </c:pt>
                <c:pt idx="12">
                  <c:v>878.82</c:v>
                </c:pt>
                <c:pt idx="13">
                  <c:v>2157.54</c:v>
                </c:pt>
                <c:pt idx="14">
                  <c:v>2092.5</c:v>
                </c:pt>
                <c:pt idx="15">
                  <c:v>1309.74</c:v>
                </c:pt>
                <c:pt idx="16">
                  <c:v>165.5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'2025年门店销售时段分析'!$B$25</c:f>
              <c:strCache>
                <c:ptCount val="1"/>
                <c:pt idx="0">
                  <c:v>3月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'2025年门店销售时段分析'!$C$21:$V$21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'2025年门店销售时段分析'!$C$25:$V$25</c:f>
              <c:numCache>
                <c:formatCode>#,##0.00;"-"#,##0.00;#,##0.00;General</c:formatCode>
                <c:ptCount val="20"/>
                <c:pt idx="1">
                  <c:v>611.72</c:v>
                </c:pt>
                <c:pt idx="2">
                  <c:v>5733.74</c:v>
                </c:pt>
                <c:pt idx="3">
                  <c:v>26995.44</c:v>
                </c:pt>
                <c:pt idx="4">
                  <c:v>31226.51</c:v>
                </c:pt>
                <c:pt idx="5">
                  <c:v>21250.35</c:v>
                </c:pt>
                <c:pt idx="6">
                  <c:v>10336.13</c:v>
                </c:pt>
                <c:pt idx="7">
                  <c:v>9421.74</c:v>
                </c:pt>
                <c:pt idx="8">
                  <c:v>12527.31</c:v>
                </c:pt>
                <c:pt idx="9">
                  <c:v>5045.6</c:v>
                </c:pt>
                <c:pt idx="10">
                  <c:v>2624</c:v>
                </c:pt>
                <c:pt idx="11">
                  <c:v>1367</c:v>
                </c:pt>
                <c:pt idx="12">
                  <c:v>958</c:v>
                </c:pt>
                <c:pt idx="13">
                  <c:v>2788.64</c:v>
                </c:pt>
                <c:pt idx="14">
                  <c:v>2717.89</c:v>
                </c:pt>
                <c:pt idx="15">
                  <c:v>1684.05</c:v>
                </c:pt>
                <c:pt idx="16">
                  <c:v>401.5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'2025年门店销售时段分析'!$B$26</c:f>
              <c:strCache>
                <c:ptCount val="1"/>
                <c:pt idx="0">
                  <c:v>4月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'2025年门店销售时段分析'!$C$21:$V$21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'2025年门店销售时段分析'!$C$26:$V$26</c:f>
              <c:numCache>
                <c:formatCode>#,##0.00;"-"#,##0.00;#,##0.00;General</c:formatCode>
                <c:ptCount val="20"/>
                <c:pt idx="1">
                  <c:v>853</c:v>
                </c:pt>
                <c:pt idx="2">
                  <c:v>9415.59</c:v>
                </c:pt>
                <c:pt idx="3">
                  <c:v>30571.35</c:v>
                </c:pt>
                <c:pt idx="4">
                  <c:v>28470.5</c:v>
                </c:pt>
                <c:pt idx="5">
                  <c:v>20317.87</c:v>
                </c:pt>
                <c:pt idx="6">
                  <c:v>8732.06</c:v>
                </c:pt>
                <c:pt idx="7">
                  <c:v>9458.83</c:v>
                </c:pt>
                <c:pt idx="8">
                  <c:v>11714.03</c:v>
                </c:pt>
                <c:pt idx="9">
                  <c:v>4884.72</c:v>
                </c:pt>
                <c:pt idx="10">
                  <c:v>2108.5</c:v>
                </c:pt>
                <c:pt idx="11">
                  <c:v>1209.5</c:v>
                </c:pt>
                <c:pt idx="12">
                  <c:v>1105.47</c:v>
                </c:pt>
                <c:pt idx="13">
                  <c:v>3088.12</c:v>
                </c:pt>
                <c:pt idx="14">
                  <c:v>3340</c:v>
                </c:pt>
                <c:pt idx="15">
                  <c:v>2014.48</c:v>
                </c:pt>
                <c:pt idx="16">
                  <c:v>534.5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'2025年门店销售时段分析'!$B$27</c:f>
              <c:strCache>
                <c:ptCount val="1"/>
                <c:pt idx="0">
                  <c:v>5月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'2025年门店销售时段分析'!$C$21:$V$21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'2025年门店销售时段分析'!$C$27:$V$27</c:f>
              <c:numCache>
                <c:formatCode>#,##0.00;"-"#,##0.00;#,##0.00;General</c:formatCode>
                <c:ptCount val="20"/>
                <c:pt idx="1">
                  <c:v>1172.94</c:v>
                </c:pt>
                <c:pt idx="2">
                  <c:v>9500.17</c:v>
                </c:pt>
                <c:pt idx="3">
                  <c:v>30226.38</c:v>
                </c:pt>
                <c:pt idx="4">
                  <c:v>32394.88</c:v>
                </c:pt>
                <c:pt idx="5">
                  <c:v>21405.97</c:v>
                </c:pt>
                <c:pt idx="6">
                  <c:v>9981.95</c:v>
                </c:pt>
                <c:pt idx="7">
                  <c:v>9085.84</c:v>
                </c:pt>
                <c:pt idx="8">
                  <c:v>11634.37</c:v>
                </c:pt>
                <c:pt idx="9">
                  <c:v>5176.87</c:v>
                </c:pt>
                <c:pt idx="10">
                  <c:v>2120.66</c:v>
                </c:pt>
                <c:pt idx="11">
                  <c:v>1024.84</c:v>
                </c:pt>
                <c:pt idx="12">
                  <c:v>1199.31</c:v>
                </c:pt>
                <c:pt idx="13">
                  <c:v>2785.17</c:v>
                </c:pt>
                <c:pt idx="14">
                  <c:v>3431.33</c:v>
                </c:pt>
                <c:pt idx="15">
                  <c:v>2313.79</c:v>
                </c:pt>
                <c:pt idx="16">
                  <c:v>540</c:v>
                </c:pt>
                <c:pt idx="17">
                  <c:v>6.72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'2025年门店销售时段分析'!$B$28</c:f>
              <c:strCache>
                <c:ptCount val="1"/>
                <c:pt idx="0">
                  <c:v>6月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'2025年门店销售时段分析'!$C$21:$V$21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'2025年门店销售时段分析'!$C$28:$V$28</c:f>
              <c:numCache>
                <c:formatCode>#,##0.00;"-"#,##0.00;#,##0.00;General</c:formatCode>
                <c:ptCount val="20"/>
                <c:pt idx="1">
                  <c:v>1097</c:v>
                </c:pt>
                <c:pt idx="2">
                  <c:v>8324.05</c:v>
                </c:pt>
                <c:pt idx="3">
                  <c:v>24038.41</c:v>
                </c:pt>
                <c:pt idx="4">
                  <c:v>27956.56</c:v>
                </c:pt>
                <c:pt idx="5">
                  <c:v>17488.24</c:v>
                </c:pt>
                <c:pt idx="6">
                  <c:v>10246.08</c:v>
                </c:pt>
                <c:pt idx="7">
                  <c:v>8465.78</c:v>
                </c:pt>
                <c:pt idx="8">
                  <c:v>10903.39</c:v>
                </c:pt>
                <c:pt idx="9">
                  <c:v>3886.57</c:v>
                </c:pt>
                <c:pt idx="10">
                  <c:v>1954.55</c:v>
                </c:pt>
                <c:pt idx="11">
                  <c:v>1234.58</c:v>
                </c:pt>
                <c:pt idx="12">
                  <c:v>1316.25</c:v>
                </c:pt>
                <c:pt idx="13">
                  <c:v>2394.07</c:v>
                </c:pt>
                <c:pt idx="14">
                  <c:v>3910.42</c:v>
                </c:pt>
                <c:pt idx="15">
                  <c:v>2077.77</c:v>
                </c:pt>
                <c:pt idx="16">
                  <c:v>348.51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'2025年门店销售时段分析'!$B$29</c:f>
              <c:strCache>
                <c:ptCount val="1"/>
                <c:pt idx="0">
                  <c:v>7月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'2025年门店销售时段分析'!$C$21:$V$21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'2025年门店销售时段分析'!$C$29:$V$29</c:f>
              <c:numCache>
                <c:formatCode>#,##0.00;"-"#,##0.00;#,##0.00;General</c:formatCode>
                <c:ptCount val="20"/>
                <c:pt idx="1">
                  <c:v>1660.84</c:v>
                </c:pt>
                <c:pt idx="2">
                  <c:v>10528.62</c:v>
                </c:pt>
                <c:pt idx="3">
                  <c:v>30957.16</c:v>
                </c:pt>
                <c:pt idx="4">
                  <c:v>35251.14</c:v>
                </c:pt>
                <c:pt idx="5">
                  <c:v>22226.22</c:v>
                </c:pt>
                <c:pt idx="6">
                  <c:v>11748.66</c:v>
                </c:pt>
                <c:pt idx="7">
                  <c:v>9566.58</c:v>
                </c:pt>
                <c:pt idx="8">
                  <c:v>11669.63</c:v>
                </c:pt>
                <c:pt idx="9">
                  <c:v>4351.27</c:v>
                </c:pt>
                <c:pt idx="10">
                  <c:v>1554.91</c:v>
                </c:pt>
                <c:pt idx="11">
                  <c:v>1150.57</c:v>
                </c:pt>
                <c:pt idx="12">
                  <c:v>867.87</c:v>
                </c:pt>
                <c:pt idx="13">
                  <c:v>2207.86</c:v>
                </c:pt>
                <c:pt idx="14">
                  <c:v>3488.58</c:v>
                </c:pt>
                <c:pt idx="15">
                  <c:v>2888.66</c:v>
                </c:pt>
                <c:pt idx="16">
                  <c:v>498.04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'2025年门店销售时段分析'!$B$30</c:f>
              <c:strCache>
                <c:ptCount val="1"/>
                <c:pt idx="0">
                  <c:v>8月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'2025年门店销售时段分析'!$C$21:$V$21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'2025年门店销售时段分析'!$C$30:$V$30</c:f>
              <c:numCache>
                <c:formatCode>#,##0.00;"-"#,##0.00;#,##0.00;General</c:formatCode>
                <c:ptCount val="20"/>
                <c:pt idx="0">
                  <c:v>1861.39</c:v>
                </c:pt>
                <c:pt idx="1">
                  <c:v>1446.86</c:v>
                </c:pt>
                <c:pt idx="2">
                  <c:v>9729.95</c:v>
                </c:pt>
                <c:pt idx="3">
                  <c:v>28549.67</c:v>
                </c:pt>
                <c:pt idx="4">
                  <c:v>36945.8</c:v>
                </c:pt>
                <c:pt idx="5">
                  <c:v>25842.25</c:v>
                </c:pt>
                <c:pt idx="6">
                  <c:v>14005.05</c:v>
                </c:pt>
                <c:pt idx="7">
                  <c:v>10215.62</c:v>
                </c:pt>
                <c:pt idx="8">
                  <c:v>10661.35</c:v>
                </c:pt>
                <c:pt idx="9">
                  <c:v>4655.96</c:v>
                </c:pt>
                <c:pt idx="10">
                  <c:v>2288.32</c:v>
                </c:pt>
                <c:pt idx="11">
                  <c:v>1132.2</c:v>
                </c:pt>
                <c:pt idx="12">
                  <c:v>1193.72</c:v>
                </c:pt>
                <c:pt idx="13">
                  <c:v>2477.19</c:v>
                </c:pt>
                <c:pt idx="14">
                  <c:v>3252.75</c:v>
                </c:pt>
                <c:pt idx="15">
                  <c:v>3038.45</c:v>
                </c:pt>
                <c:pt idx="16">
                  <c:v>590.53</c:v>
                </c:pt>
                <c:pt idx="17">
                  <c:v>26.66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'2025年门店销售时段分析'!$B$31</c:f>
              <c:strCache>
                <c:ptCount val="1"/>
                <c:pt idx="0">
                  <c:v>9月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'2025年门店销售时段分析'!$C$21:$V$21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'2025年门店销售时段分析'!$C$31:$V$31</c:f>
              <c:numCache>
                <c:formatCode>#,##0.00;"-"#,##0.00;#,##0.00;General</c:formatCode>
                <c:ptCount val="20"/>
                <c:pt idx="0">
                  <c:v>826.16</c:v>
                </c:pt>
                <c:pt idx="1">
                  <c:v>823.36</c:v>
                </c:pt>
                <c:pt idx="2">
                  <c:v>11755.29</c:v>
                </c:pt>
                <c:pt idx="3">
                  <c:v>28273.57</c:v>
                </c:pt>
                <c:pt idx="4">
                  <c:v>29147.54</c:v>
                </c:pt>
                <c:pt idx="5">
                  <c:v>18240.58</c:v>
                </c:pt>
                <c:pt idx="6">
                  <c:v>9146.58</c:v>
                </c:pt>
                <c:pt idx="7">
                  <c:v>9322.95</c:v>
                </c:pt>
                <c:pt idx="8">
                  <c:v>10208.4</c:v>
                </c:pt>
                <c:pt idx="9">
                  <c:v>4498.74</c:v>
                </c:pt>
                <c:pt idx="10">
                  <c:v>2338.16</c:v>
                </c:pt>
                <c:pt idx="11">
                  <c:v>1136.73</c:v>
                </c:pt>
                <c:pt idx="12">
                  <c:v>1224.59</c:v>
                </c:pt>
                <c:pt idx="13">
                  <c:v>2773.04</c:v>
                </c:pt>
                <c:pt idx="14">
                  <c:v>3281.38</c:v>
                </c:pt>
                <c:pt idx="15">
                  <c:v>2291.17</c:v>
                </c:pt>
                <c:pt idx="16">
                  <c:v>381.05</c:v>
                </c:pt>
                <c:pt idx="17">
                  <c:v>15.14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'2025年门店销售时段分析'!$B$32</c:f>
              <c:strCache>
                <c:ptCount val="1"/>
                <c:pt idx="0">
                  <c:v>10月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'2025年门店销售时段分析'!$C$21:$V$21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'2025年门店销售时段分析'!$C$32:$V$32</c:f>
              <c:numCache>
                <c:formatCode>#,##0.00;"-"#,##0.00;#,##0.00;General</c:formatCode>
                <c:ptCount val="20"/>
                <c:pt idx="0">
                  <c:v>366.19</c:v>
                </c:pt>
                <c:pt idx="1">
                  <c:v>640.53</c:v>
                </c:pt>
                <c:pt idx="2">
                  <c:v>10328.51</c:v>
                </c:pt>
                <c:pt idx="3">
                  <c:v>29988.93</c:v>
                </c:pt>
                <c:pt idx="4">
                  <c:v>32207.82</c:v>
                </c:pt>
                <c:pt idx="5">
                  <c:v>22838.3</c:v>
                </c:pt>
                <c:pt idx="6">
                  <c:v>11580.31</c:v>
                </c:pt>
                <c:pt idx="7">
                  <c:v>10667.33</c:v>
                </c:pt>
                <c:pt idx="8">
                  <c:v>11395.96</c:v>
                </c:pt>
                <c:pt idx="9">
                  <c:v>4998.99</c:v>
                </c:pt>
                <c:pt idx="10">
                  <c:v>2605.52</c:v>
                </c:pt>
                <c:pt idx="11">
                  <c:v>1377.11</c:v>
                </c:pt>
                <c:pt idx="12">
                  <c:v>1368.54</c:v>
                </c:pt>
                <c:pt idx="13">
                  <c:v>2861.25</c:v>
                </c:pt>
                <c:pt idx="14">
                  <c:v>3936.4</c:v>
                </c:pt>
                <c:pt idx="15">
                  <c:v>2204.14</c:v>
                </c:pt>
                <c:pt idx="16">
                  <c:v>209</c:v>
                </c:pt>
                <c:pt idx="17">
                  <c:v>8.51</c:v>
                </c:pt>
                <c:pt idx="19">
                  <c:v>15.81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'2025年门店销售时段分析'!$B$33</c:f>
              <c:strCache>
                <c:ptCount val="1"/>
                <c:pt idx="0">
                  <c:v>11月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'2025年门店销售时段分析'!$C$21:$V$21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'2025年门店销售时段分析'!$C$33:$V$33</c:f>
              <c:numCache>
                <c:formatCode>#,##0.00_);[Red]\(#,##0.00\)</c:formatCode>
                <c:ptCount val="20"/>
                <c:pt idx="0">
                  <c:v>184.67</c:v>
                </c:pt>
                <c:pt idx="1" c:formatCode="#,##0.00;&quot;-&quot;#,##0.00;#,##0.00;General">
                  <c:v>1147.14</c:v>
                </c:pt>
                <c:pt idx="2" c:formatCode="#,##0.00;&quot;-&quot;#,##0.00;#,##0.00;General">
                  <c:v>9871.69</c:v>
                </c:pt>
                <c:pt idx="3" c:formatCode="#,##0.00;&quot;-&quot;#,##0.00;#,##0.00;General">
                  <c:v>26949.24</c:v>
                </c:pt>
                <c:pt idx="4" c:formatCode="#,##0.00;&quot;-&quot;#,##0.00;#,##0.00;General">
                  <c:v>33371.81</c:v>
                </c:pt>
                <c:pt idx="5" c:formatCode="#,##0.00;&quot;-&quot;#,##0.00;#,##0.00;General">
                  <c:v>22511.11</c:v>
                </c:pt>
                <c:pt idx="6" c:formatCode="#,##0.00;&quot;-&quot;#,##0.00;#,##0.00;General">
                  <c:v>11936.55</c:v>
                </c:pt>
                <c:pt idx="7" c:formatCode="#,##0.00;&quot;-&quot;#,##0.00;#,##0.00;General">
                  <c:v>13633.62</c:v>
                </c:pt>
                <c:pt idx="8" c:formatCode="#,##0.00;&quot;-&quot;#,##0.00;#,##0.00;General">
                  <c:v>14121.76</c:v>
                </c:pt>
                <c:pt idx="9" c:formatCode="#,##0.00;&quot;-&quot;#,##0.00;#,##0.00;General">
                  <c:v>6609.04</c:v>
                </c:pt>
                <c:pt idx="10" c:formatCode="#,##0.00;&quot;-&quot;#,##0.00;#,##0.00;General">
                  <c:v>3734.45</c:v>
                </c:pt>
                <c:pt idx="11" c:formatCode="#,##0.00;&quot;-&quot;#,##0.00;#,##0.00;General">
                  <c:v>1733.19</c:v>
                </c:pt>
                <c:pt idx="12" c:formatCode="#,##0.00;&quot;-&quot;#,##0.00;#,##0.00;General">
                  <c:v>1404.36</c:v>
                </c:pt>
                <c:pt idx="13" c:formatCode="#,##0.00;&quot;-&quot;#,##0.00;#,##0.00;General">
                  <c:v>4180.59</c:v>
                </c:pt>
                <c:pt idx="14" c:formatCode="#,##0.00;&quot;-&quot;#,##0.00;#,##0.00;General">
                  <c:v>4435.01</c:v>
                </c:pt>
                <c:pt idx="15" c:formatCode="#,##0.00;&quot;-&quot;#,##0.00;#,##0.00;General">
                  <c:v>2826.77</c:v>
                </c:pt>
                <c:pt idx="16" c:formatCode="#,##0.00;&quot;-&quot;#,##0.00;#,##0.00;General">
                  <c:v>427.5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'2025年门店销售时段分析'!$B$34</c:f>
              <c:strCache>
                <c:ptCount val="1"/>
                <c:pt idx="0">
                  <c:v>12月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'2025年门店销售时段分析'!$C$21:$V$21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'2025年门店销售时段分析'!$C$34:$V$34</c:f>
              <c:numCache>
                <c:formatCode>General</c:formatCode>
                <c:ptCount val="20"/>
                <c:pt idx="0">
                  <c:v>299.8</c:v>
                </c:pt>
                <c:pt idx="1" c:formatCode="#,##0.00;&quot;-&quot;#,##0.00;#,##0.00;General">
                  <c:v>1053.96</c:v>
                </c:pt>
                <c:pt idx="2" c:formatCode="#,##0.00;&quot;-&quot;#,##0.00;#,##0.00;General">
                  <c:v>9114.77</c:v>
                </c:pt>
                <c:pt idx="3" c:formatCode="#,##0.00;&quot;-&quot;#,##0.00;#,##0.00;General">
                  <c:v>24794.52</c:v>
                </c:pt>
                <c:pt idx="4" c:formatCode="#,##0.00;&quot;-&quot;#,##0.00;#,##0.00;General">
                  <c:v>33181.69</c:v>
                </c:pt>
                <c:pt idx="5" c:formatCode="#,##0.00;&quot;-&quot;#,##0.00;#,##0.00;General">
                  <c:v>23924.17</c:v>
                </c:pt>
                <c:pt idx="6" c:formatCode="#,##0.00;&quot;-&quot;#,##0.00;#,##0.00;General">
                  <c:v>13774.74</c:v>
                </c:pt>
                <c:pt idx="7" c:formatCode="#,##0.00;&quot;-&quot;#,##0.00;#,##0.00;General">
                  <c:v>17573.88</c:v>
                </c:pt>
                <c:pt idx="8" c:formatCode="#,##0.00;&quot;-&quot;#,##0.00;#,##0.00;General">
                  <c:v>20507.43</c:v>
                </c:pt>
                <c:pt idx="9" c:formatCode="#,##0.00;&quot;-&quot;#,##0.00;#,##0.00;General">
                  <c:v>9715.57</c:v>
                </c:pt>
                <c:pt idx="10" c:formatCode="#,##0.00;&quot;-&quot;#,##0.00;#,##0.00;General">
                  <c:v>4557.37</c:v>
                </c:pt>
                <c:pt idx="11" c:formatCode="#,##0.00;&quot;-&quot;#,##0.00;#,##0.00;General">
                  <c:v>2547.48</c:v>
                </c:pt>
                <c:pt idx="12" c:formatCode="#,##0.00;&quot;-&quot;#,##0.00;#,##0.00;General">
                  <c:v>2641.76</c:v>
                </c:pt>
                <c:pt idx="13" c:formatCode="#,##0.00;&quot;-&quot;#,##0.00;#,##0.00;General">
                  <c:v>5023.47</c:v>
                </c:pt>
                <c:pt idx="14" c:formatCode="#,##0.00;&quot;-&quot;#,##0.00;#,##0.00;General">
                  <c:v>5734.02</c:v>
                </c:pt>
                <c:pt idx="15" c:formatCode="#,##0.00;&quot;-&quot;#,##0.00;#,##0.00;General">
                  <c:v>2810.21</c:v>
                </c:pt>
                <c:pt idx="16" c:formatCode="#,##0.00;&quot;-&quot;#,##0.00;#,##0.00;General">
                  <c:v>124.5</c:v>
                </c:pt>
                <c:pt idx="17" c:formatCode="#,##0.00;&quot;-&quot;#,##0.00;#,##0.00;General">
                  <c:v>20.26</c:v>
                </c:pt>
                <c:pt idx="18">
                  <c:v>15.08</c:v>
                </c:pt>
                <c:pt idx="19" c:formatCode="#,##0.00;&quot;-&quot;#,##0.00;#,##0.00;General">
                  <c:v>9.08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3311037"/>
        <c:axId val="692226382"/>
      </c:lineChart>
      <c:catAx>
        <c:axId val="9633110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2226382"/>
        <c:crosses val="autoZero"/>
        <c:auto val="1"/>
        <c:lblAlgn val="ctr"/>
        <c:lblOffset val="100"/>
        <c:noMultiLvlLbl val="0"/>
      </c:catAx>
      <c:valAx>
        <c:axId val="6922263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33110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铁机路店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'2025年门店销售时段分析'!$B$40</c:f>
              <c:strCache>
                <c:ptCount val="1"/>
                <c:pt idx="0">
                  <c:v>时段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'2025年门店销售时段分析'!$C$39:$V$39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'2025年门店销售时段分析'!$C$40:$V$40</c:f>
              <c:numCache>
                <c:formatCode>#,##0.00_);[Red]\(#,##0.00\)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'2025年门店销售时段分析'!$B$41</c:f>
              <c:strCache>
                <c:ptCount val="1"/>
                <c:pt idx="0">
                  <c:v>1月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'2025年门店销售时段分析'!$C$39:$V$39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'2025年门店销售时段分析'!$C$41:$V$41</c:f>
              <c:numCache>
                <c:formatCode>#,##0.00;"-"#,##0.00;#,##0.00;General</c:formatCode>
                <c:ptCount val="20"/>
              </c:numCache>
            </c:numRef>
          </c:val>
          <c:smooth val="0"/>
        </c:ser>
        <c:ser>
          <c:idx val="2"/>
          <c:order val="2"/>
          <c:tx>
            <c:strRef>
              <c:f>'2025年门店销售时段分析'!$B$42</c:f>
              <c:strCache>
                <c:ptCount val="1"/>
                <c:pt idx="0">
                  <c:v>2月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'2025年门店销售时段分析'!$C$39:$V$39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'2025年门店销售时段分析'!$C$42:$V$42</c:f>
              <c:numCache>
                <c:formatCode>#,##0.00;"-"#,##0.00;#,##0.00;General</c:formatCode>
                <c:ptCount val="20"/>
                <c:pt idx="1">
                  <c:v>166.9</c:v>
                </c:pt>
                <c:pt idx="2">
                  <c:v>2355.8</c:v>
                </c:pt>
                <c:pt idx="3">
                  <c:v>8520.4</c:v>
                </c:pt>
                <c:pt idx="4">
                  <c:v>15521</c:v>
                </c:pt>
                <c:pt idx="5">
                  <c:v>12302.1</c:v>
                </c:pt>
                <c:pt idx="6">
                  <c:v>6797.2</c:v>
                </c:pt>
                <c:pt idx="7">
                  <c:v>7783.6</c:v>
                </c:pt>
                <c:pt idx="8">
                  <c:v>12644.7</c:v>
                </c:pt>
                <c:pt idx="9">
                  <c:v>7616.6</c:v>
                </c:pt>
                <c:pt idx="10">
                  <c:v>4483.9</c:v>
                </c:pt>
                <c:pt idx="11">
                  <c:v>2447.4</c:v>
                </c:pt>
                <c:pt idx="12">
                  <c:v>2129.5</c:v>
                </c:pt>
                <c:pt idx="13">
                  <c:v>3919.2</c:v>
                </c:pt>
                <c:pt idx="14">
                  <c:v>7590.3</c:v>
                </c:pt>
                <c:pt idx="15">
                  <c:v>5336.8</c:v>
                </c:pt>
                <c:pt idx="16">
                  <c:v>430.9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'2025年门店销售时段分析'!$B$43</c:f>
              <c:strCache>
                <c:ptCount val="1"/>
                <c:pt idx="0">
                  <c:v>3月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'2025年门店销售时段分析'!$C$39:$V$39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'2025年门店销售时段分析'!$C$43:$V$43</c:f>
              <c:numCache>
                <c:formatCode>#,##0.00;"-"#,##0.00;#,##0.00;General</c:formatCode>
                <c:ptCount val="20"/>
                <c:pt idx="1">
                  <c:v>684.3</c:v>
                </c:pt>
                <c:pt idx="2">
                  <c:v>6370.1</c:v>
                </c:pt>
                <c:pt idx="3">
                  <c:v>14794.5</c:v>
                </c:pt>
                <c:pt idx="4">
                  <c:v>22640</c:v>
                </c:pt>
                <c:pt idx="5">
                  <c:v>17101.5</c:v>
                </c:pt>
                <c:pt idx="6">
                  <c:v>9368.1</c:v>
                </c:pt>
                <c:pt idx="7">
                  <c:v>11908.3</c:v>
                </c:pt>
                <c:pt idx="8">
                  <c:v>20943.9</c:v>
                </c:pt>
                <c:pt idx="9">
                  <c:v>12116.8</c:v>
                </c:pt>
                <c:pt idx="10">
                  <c:v>6741.5</c:v>
                </c:pt>
                <c:pt idx="11">
                  <c:v>3596.1</c:v>
                </c:pt>
                <c:pt idx="12">
                  <c:v>3161.8</c:v>
                </c:pt>
                <c:pt idx="13">
                  <c:v>4594</c:v>
                </c:pt>
                <c:pt idx="14">
                  <c:v>10167.8</c:v>
                </c:pt>
                <c:pt idx="15">
                  <c:v>8539.8</c:v>
                </c:pt>
                <c:pt idx="16">
                  <c:v>3052.4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'2025年门店销售时段分析'!$B$44</c:f>
              <c:strCache>
                <c:ptCount val="1"/>
                <c:pt idx="0">
                  <c:v>4月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'2025年门店销售时段分析'!$C$39:$V$39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'2025年门店销售时段分析'!$C$44:$V$44</c:f>
              <c:numCache>
                <c:formatCode>#,##0.00;"-"#,##0.00;#,##0.00;General</c:formatCode>
                <c:ptCount val="20"/>
                <c:pt idx="1">
                  <c:v>958.2</c:v>
                </c:pt>
                <c:pt idx="2">
                  <c:v>7767.9</c:v>
                </c:pt>
                <c:pt idx="3">
                  <c:v>14561.6</c:v>
                </c:pt>
                <c:pt idx="4">
                  <c:v>18382.8</c:v>
                </c:pt>
                <c:pt idx="5">
                  <c:v>13116.4</c:v>
                </c:pt>
                <c:pt idx="6">
                  <c:v>9281.9</c:v>
                </c:pt>
                <c:pt idx="7">
                  <c:v>11181.7</c:v>
                </c:pt>
                <c:pt idx="8">
                  <c:v>18255.2</c:v>
                </c:pt>
                <c:pt idx="9">
                  <c:v>11083.6</c:v>
                </c:pt>
                <c:pt idx="10">
                  <c:v>5887</c:v>
                </c:pt>
                <c:pt idx="11">
                  <c:v>3462.4</c:v>
                </c:pt>
                <c:pt idx="12">
                  <c:v>2535.8</c:v>
                </c:pt>
                <c:pt idx="13">
                  <c:v>4696.5</c:v>
                </c:pt>
                <c:pt idx="14">
                  <c:v>9357.5</c:v>
                </c:pt>
                <c:pt idx="15">
                  <c:v>8486</c:v>
                </c:pt>
                <c:pt idx="16">
                  <c:v>3122.5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'2025年门店销售时段分析'!$B$45</c:f>
              <c:strCache>
                <c:ptCount val="1"/>
                <c:pt idx="0">
                  <c:v>5月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'2025年门店销售时段分析'!$C$39:$V$39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'2025年门店销售时段分析'!$C$45:$V$45</c:f>
              <c:numCache>
                <c:formatCode>#,##0.00;"-"#,##0.00;#,##0.00;General</c:formatCode>
                <c:ptCount val="20"/>
                <c:pt idx="1">
                  <c:v>1418.5</c:v>
                </c:pt>
                <c:pt idx="2">
                  <c:v>7866.19</c:v>
                </c:pt>
                <c:pt idx="3">
                  <c:v>14493.67</c:v>
                </c:pt>
                <c:pt idx="4">
                  <c:v>18578.53</c:v>
                </c:pt>
                <c:pt idx="5">
                  <c:v>14315.64</c:v>
                </c:pt>
                <c:pt idx="6">
                  <c:v>8322.93</c:v>
                </c:pt>
                <c:pt idx="7">
                  <c:v>10954.27</c:v>
                </c:pt>
                <c:pt idx="8">
                  <c:v>20116.77</c:v>
                </c:pt>
                <c:pt idx="9">
                  <c:v>11492.37</c:v>
                </c:pt>
                <c:pt idx="10">
                  <c:v>6575.31</c:v>
                </c:pt>
                <c:pt idx="11">
                  <c:v>3958.32</c:v>
                </c:pt>
                <c:pt idx="12">
                  <c:v>3278.78</c:v>
                </c:pt>
                <c:pt idx="13">
                  <c:v>4906.09</c:v>
                </c:pt>
                <c:pt idx="14">
                  <c:v>8313</c:v>
                </c:pt>
                <c:pt idx="15">
                  <c:v>8291.22</c:v>
                </c:pt>
                <c:pt idx="16">
                  <c:v>3227.38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'2025年门店销售时段分析'!$B$46</c:f>
              <c:strCache>
                <c:ptCount val="1"/>
                <c:pt idx="0">
                  <c:v>6月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'2025年门店销售时段分析'!$C$39:$V$39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'2025年门店销售时段分析'!$C$46:$V$46</c:f>
              <c:numCache>
                <c:formatCode>#,##0.00;"-"#,##0.00;#,##0.00;General</c:formatCode>
                <c:ptCount val="20"/>
                <c:pt idx="0">
                  <c:v>13.52</c:v>
                </c:pt>
                <c:pt idx="1">
                  <c:v>1475.94</c:v>
                </c:pt>
                <c:pt idx="2">
                  <c:v>7632.51</c:v>
                </c:pt>
                <c:pt idx="3">
                  <c:v>13902.27</c:v>
                </c:pt>
                <c:pt idx="4">
                  <c:v>16616.1</c:v>
                </c:pt>
                <c:pt idx="5">
                  <c:v>12763.74</c:v>
                </c:pt>
                <c:pt idx="6">
                  <c:v>7691.63</c:v>
                </c:pt>
                <c:pt idx="7">
                  <c:v>10073.07</c:v>
                </c:pt>
                <c:pt idx="8">
                  <c:v>16179.05</c:v>
                </c:pt>
                <c:pt idx="9">
                  <c:v>10730.41</c:v>
                </c:pt>
                <c:pt idx="10">
                  <c:v>5646.02</c:v>
                </c:pt>
                <c:pt idx="11">
                  <c:v>3527.22</c:v>
                </c:pt>
                <c:pt idx="12">
                  <c:v>2641.83</c:v>
                </c:pt>
                <c:pt idx="13">
                  <c:v>4309.03</c:v>
                </c:pt>
                <c:pt idx="14">
                  <c:v>8062.37</c:v>
                </c:pt>
                <c:pt idx="15">
                  <c:v>7923.32</c:v>
                </c:pt>
                <c:pt idx="16">
                  <c:v>3282.76</c:v>
                </c:pt>
                <c:pt idx="17">
                  <c:v>12.81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'2025年门店销售时段分析'!$B$47</c:f>
              <c:strCache>
                <c:ptCount val="1"/>
                <c:pt idx="0">
                  <c:v>7月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'2025年门店销售时段分析'!$C$39:$V$39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'2025年门店销售时段分析'!$C$47:$V$47</c:f>
              <c:numCache>
                <c:formatCode>#,##0.00;"-"#,##0.00;#,##0.00;General</c:formatCode>
                <c:ptCount val="20"/>
                <c:pt idx="0">
                  <c:v>443.18</c:v>
                </c:pt>
                <c:pt idx="1">
                  <c:v>3762.58</c:v>
                </c:pt>
                <c:pt idx="2">
                  <c:v>8442.64</c:v>
                </c:pt>
                <c:pt idx="3">
                  <c:v>16165.99</c:v>
                </c:pt>
                <c:pt idx="4">
                  <c:v>20833.33</c:v>
                </c:pt>
                <c:pt idx="5">
                  <c:v>16639.07</c:v>
                </c:pt>
                <c:pt idx="6">
                  <c:v>9471.51</c:v>
                </c:pt>
                <c:pt idx="7">
                  <c:v>11214.89</c:v>
                </c:pt>
                <c:pt idx="8">
                  <c:v>14673.55</c:v>
                </c:pt>
                <c:pt idx="9">
                  <c:v>9637.16</c:v>
                </c:pt>
                <c:pt idx="10">
                  <c:v>5967.99</c:v>
                </c:pt>
                <c:pt idx="11">
                  <c:v>4150.02</c:v>
                </c:pt>
                <c:pt idx="12">
                  <c:v>2903.66</c:v>
                </c:pt>
                <c:pt idx="13">
                  <c:v>5059.6</c:v>
                </c:pt>
                <c:pt idx="14">
                  <c:v>8694.95</c:v>
                </c:pt>
                <c:pt idx="15">
                  <c:v>8634.09</c:v>
                </c:pt>
                <c:pt idx="16">
                  <c:v>2805.73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'2025年门店销售时段分析'!$B$48</c:f>
              <c:strCache>
                <c:ptCount val="1"/>
                <c:pt idx="0">
                  <c:v>8月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'2025年门店销售时段分析'!$C$39:$V$39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'2025年门店销售时段分析'!$C$48:$V$48</c:f>
              <c:numCache>
                <c:formatCode>#,##0.00;"-"#,##0.00;#,##0.00;General</c:formatCode>
                <c:ptCount val="20"/>
                <c:pt idx="0">
                  <c:v>607.05</c:v>
                </c:pt>
                <c:pt idx="1">
                  <c:v>2476.17</c:v>
                </c:pt>
                <c:pt idx="2">
                  <c:v>9309.5</c:v>
                </c:pt>
                <c:pt idx="3">
                  <c:v>18490.87</c:v>
                </c:pt>
                <c:pt idx="4">
                  <c:v>23308.73</c:v>
                </c:pt>
                <c:pt idx="5">
                  <c:v>19779</c:v>
                </c:pt>
                <c:pt idx="6">
                  <c:v>12081.35</c:v>
                </c:pt>
                <c:pt idx="7">
                  <c:v>13619.21</c:v>
                </c:pt>
                <c:pt idx="8">
                  <c:v>15832.78</c:v>
                </c:pt>
                <c:pt idx="9">
                  <c:v>9345.67</c:v>
                </c:pt>
                <c:pt idx="10">
                  <c:v>6783.12</c:v>
                </c:pt>
                <c:pt idx="11">
                  <c:v>4313.34</c:v>
                </c:pt>
                <c:pt idx="12">
                  <c:v>3568.32</c:v>
                </c:pt>
                <c:pt idx="13">
                  <c:v>5387.27</c:v>
                </c:pt>
                <c:pt idx="14">
                  <c:v>9674.17</c:v>
                </c:pt>
                <c:pt idx="15">
                  <c:v>8646.08</c:v>
                </c:pt>
                <c:pt idx="16">
                  <c:v>2230.78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'2025年门店销售时段分析'!$B$49</c:f>
              <c:strCache>
                <c:ptCount val="1"/>
                <c:pt idx="0">
                  <c:v>9月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'2025年门店销售时段分析'!$C$39:$V$39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'2025年门店销售时段分析'!$C$49:$V$49</c:f>
              <c:numCache>
                <c:formatCode>#,##0.00;"-"#,##0.00;#,##0.00;General</c:formatCode>
                <c:ptCount val="20"/>
                <c:pt idx="0">
                  <c:v>101.38</c:v>
                </c:pt>
                <c:pt idx="1">
                  <c:v>1126.32</c:v>
                </c:pt>
                <c:pt idx="2">
                  <c:v>8223.79</c:v>
                </c:pt>
                <c:pt idx="3">
                  <c:v>16591</c:v>
                </c:pt>
                <c:pt idx="4">
                  <c:v>19717.15</c:v>
                </c:pt>
                <c:pt idx="5">
                  <c:v>13565.96</c:v>
                </c:pt>
                <c:pt idx="6">
                  <c:v>8421.67</c:v>
                </c:pt>
                <c:pt idx="7">
                  <c:v>10996.65</c:v>
                </c:pt>
                <c:pt idx="8">
                  <c:v>14853.88</c:v>
                </c:pt>
                <c:pt idx="9">
                  <c:v>9868.9</c:v>
                </c:pt>
                <c:pt idx="10">
                  <c:v>5641.75</c:v>
                </c:pt>
                <c:pt idx="11">
                  <c:v>3218.35</c:v>
                </c:pt>
                <c:pt idx="12">
                  <c:v>3169.94</c:v>
                </c:pt>
                <c:pt idx="13">
                  <c:v>5013.35</c:v>
                </c:pt>
                <c:pt idx="14">
                  <c:v>9245.25</c:v>
                </c:pt>
                <c:pt idx="15">
                  <c:v>6964.9</c:v>
                </c:pt>
                <c:pt idx="16">
                  <c:v>1859.02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'2025年门店销售时段分析'!$B$50</c:f>
              <c:strCache>
                <c:ptCount val="1"/>
                <c:pt idx="0">
                  <c:v>10月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'2025年门店销售时段分析'!$C$39:$V$39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'2025年门店销售时段分析'!$C$50:$V$50</c:f>
              <c:numCache>
                <c:formatCode>#,##0.00;"-"#,##0.00;#,##0.00;General</c:formatCode>
                <c:ptCount val="20"/>
                <c:pt idx="0">
                  <c:v>75.17</c:v>
                </c:pt>
                <c:pt idx="1">
                  <c:v>1000.97</c:v>
                </c:pt>
                <c:pt idx="2">
                  <c:v>8368.09</c:v>
                </c:pt>
                <c:pt idx="3">
                  <c:v>17943.07</c:v>
                </c:pt>
                <c:pt idx="4">
                  <c:v>22868.92</c:v>
                </c:pt>
                <c:pt idx="5">
                  <c:v>18966.9</c:v>
                </c:pt>
                <c:pt idx="6">
                  <c:v>11123.1</c:v>
                </c:pt>
                <c:pt idx="7">
                  <c:v>16554.19</c:v>
                </c:pt>
                <c:pt idx="8">
                  <c:v>17744.64</c:v>
                </c:pt>
                <c:pt idx="9">
                  <c:v>11505.86</c:v>
                </c:pt>
                <c:pt idx="10">
                  <c:v>7081.97</c:v>
                </c:pt>
                <c:pt idx="11">
                  <c:v>4206.85</c:v>
                </c:pt>
                <c:pt idx="12">
                  <c:v>4255.3</c:v>
                </c:pt>
                <c:pt idx="13">
                  <c:v>6982.5</c:v>
                </c:pt>
                <c:pt idx="14">
                  <c:v>10842.11</c:v>
                </c:pt>
                <c:pt idx="15">
                  <c:v>7147.82</c:v>
                </c:pt>
                <c:pt idx="16">
                  <c:v>1840.12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'2025年门店销售时段分析'!$B$51</c:f>
              <c:strCache>
                <c:ptCount val="1"/>
                <c:pt idx="0">
                  <c:v>11月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'2025年门店销售时段分析'!$C$39:$V$39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'2025年门店销售时段分析'!$C$51:$V$51</c:f>
              <c:numCache>
                <c:formatCode>#,##0.00;"-"#,##0.00;#,##0.00;General</c:formatCode>
                <c:ptCount val="20"/>
                <c:pt idx="0">
                  <c:v>72.91</c:v>
                </c:pt>
                <c:pt idx="1">
                  <c:v>1233.28</c:v>
                </c:pt>
                <c:pt idx="2">
                  <c:v>6709.24</c:v>
                </c:pt>
                <c:pt idx="3">
                  <c:v>16394.11</c:v>
                </c:pt>
                <c:pt idx="4">
                  <c:v>22539.65</c:v>
                </c:pt>
                <c:pt idx="5">
                  <c:v>17219.76</c:v>
                </c:pt>
                <c:pt idx="6">
                  <c:v>9789.21</c:v>
                </c:pt>
                <c:pt idx="7">
                  <c:v>14445.19</c:v>
                </c:pt>
                <c:pt idx="8">
                  <c:v>16749.47</c:v>
                </c:pt>
                <c:pt idx="9">
                  <c:v>10869.21</c:v>
                </c:pt>
                <c:pt idx="10">
                  <c:v>6826.29</c:v>
                </c:pt>
                <c:pt idx="11">
                  <c:v>4457.63</c:v>
                </c:pt>
                <c:pt idx="12">
                  <c:v>3475.47</c:v>
                </c:pt>
                <c:pt idx="13">
                  <c:v>6158.49</c:v>
                </c:pt>
                <c:pt idx="14">
                  <c:v>9578.48</c:v>
                </c:pt>
                <c:pt idx="15">
                  <c:v>6475.69</c:v>
                </c:pt>
                <c:pt idx="16">
                  <c:v>1403.63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'2025年门店销售时段分析'!$B$52</c:f>
              <c:strCache>
                <c:ptCount val="1"/>
                <c:pt idx="0">
                  <c:v>12月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'2025年门店销售时段分析'!$C$39:$V$39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'2025年门店销售时段分析'!$C$52:$V$52</c:f>
              <c:numCache>
                <c:formatCode>General</c:formatCode>
                <c:ptCount val="20"/>
                <c:pt idx="0">
                  <c:v>40.53</c:v>
                </c:pt>
                <c:pt idx="1">
                  <c:v>965.82</c:v>
                </c:pt>
                <c:pt idx="2">
                  <c:v>8160.27</c:v>
                </c:pt>
                <c:pt idx="3">
                  <c:v>18875.99</c:v>
                </c:pt>
                <c:pt idx="4">
                  <c:v>25403.63</c:v>
                </c:pt>
                <c:pt idx="5">
                  <c:v>18909.03</c:v>
                </c:pt>
                <c:pt idx="6">
                  <c:v>12340.36</c:v>
                </c:pt>
                <c:pt idx="7">
                  <c:v>18048.83</c:v>
                </c:pt>
                <c:pt idx="8">
                  <c:v>19069.77</c:v>
                </c:pt>
                <c:pt idx="9">
                  <c:v>13404.23</c:v>
                </c:pt>
                <c:pt idx="10">
                  <c:v>8354.58</c:v>
                </c:pt>
                <c:pt idx="11">
                  <c:v>5933.49</c:v>
                </c:pt>
                <c:pt idx="12">
                  <c:v>4002.98</c:v>
                </c:pt>
                <c:pt idx="13">
                  <c:v>7746.63</c:v>
                </c:pt>
                <c:pt idx="14">
                  <c:v>10809.67</c:v>
                </c:pt>
                <c:pt idx="15">
                  <c:v>7513.09</c:v>
                </c:pt>
                <c:pt idx="16" c:formatCode="#,##0.00_);[Red]\(#,##0.00\)">
                  <c:v>1464.18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9101921"/>
        <c:axId val="258806192"/>
      </c:lineChart>
      <c:catAx>
        <c:axId val="7591019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8806192"/>
        <c:crosses val="autoZero"/>
        <c:auto val="1"/>
        <c:lblAlgn val="ctr"/>
        <c:lblOffset val="100"/>
        <c:noMultiLvlLbl val="0"/>
      </c:catAx>
      <c:valAx>
        <c:axId val="25880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1019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蔡甸中百店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'2025年门店销售时段分析'!$B$59</c:f>
              <c:strCache>
                <c:ptCount val="1"/>
                <c:pt idx="0">
                  <c:v>时段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'2025年门店销售时段分析'!$C$58:$V$58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'2025年门店销售时段分析'!$C$59:$V$59</c:f>
              <c:numCache>
                <c:formatCode>#,##0.00_);[Red]\(#,##0.00\)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'2025年门店销售时段分析'!$B$60</c:f>
              <c:strCache>
                <c:ptCount val="1"/>
                <c:pt idx="0">
                  <c:v>1月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'2025年门店销售时段分析'!$C$58:$V$58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'2025年门店销售时段分析'!$C$60:$V$60</c:f>
              <c:numCache>
                <c:formatCode>#,##0.00;"-"#,##0.00;#,##0.00;General</c:formatCode>
                <c:ptCount val="20"/>
                <c:pt idx="1">
                  <c:v>29</c:v>
                </c:pt>
                <c:pt idx="2">
                  <c:v>1234.89</c:v>
                </c:pt>
                <c:pt idx="3">
                  <c:v>5957.67</c:v>
                </c:pt>
                <c:pt idx="4">
                  <c:v>13426.6</c:v>
                </c:pt>
                <c:pt idx="5">
                  <c:v>12045.56</c:v>
                </c:pt>
                <c:pt idx="6">
                  <c:v>9139.98</c:v>
                </c:pt>
                <c:pt idx="7">
                  <c:v>7388.46</c:v>
                </c:pt>
                <c:pt idx="8">
                  <c:v>8697</c:v>
                </c:pt>
                <c:pt idx="9">
                  <c:v>4873</c:v>
                </c:pt>
                <c:pt idx="10">
                  <c:v>3601.7</c:v>
                </c:pt>
                <c:pt idx="11">
                  <c:v>2387</c:v>
                </c:pt>
                <c:pt idx="12">
                  <c:v>2684.33</c:v>
                </c:pt>
                <c:pt idx="13">
                  <c:v>4436.93</c:v>
                </c:pt>
                <c:pt idx="14">
                  <c:v>3314.56</c:v>
                </c:pt>
                <c:pt idx="15">
                  <c:v>2127</c:v>
                </c:pt>
                <c:pt idx="16">
                  <c:v>564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'2025年门店销售时段分析'!$B$61</c:f>
              <c:strCache>
                <c:ptCount val="1"/>
                <c:pt idx="0">
                  <c:v>2月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'2025年门店销售时段分析'!$C$58:$V$58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'2025年门店销售时段分析'!$C$61:$V$61</c:f>
              <c:numCache>
                <c:formatCode>#,##0.00;"-"#,##0.00;#,##0.00;General</c:formatCode>
                <c:ptCount val="20"/>
                <c:pt idx="1">
                  <c:v>24</c:v>
                </c:pt>
                <c:pt idx="2">
                  <c:v>1403</c:v>
                </c:pt>
                <c:pt idx="3">
                  <c:v>5920.34</c:v>
                </c:pt>
                <c:pt idx="4">
                  <c:v>12838.86</c:v>
                </c:pt>
                <c:pt idx="5">
                  <c:v>11265.1</c:v>
                </c:pt>
                <c:pt idx="6">
                  <c:v>7771.69</c:v>
                </c:pt>
                <c:pt idx="7">
                  <c:v>6535.44</c:v>
                </c:pt>
                <c:pt idx="8">
                  <c:v>6920.33</c:v>
                </c:pt>
                <c:pt idx="9">
                  <c:v>4831</c:v>
                </c:pt>
                <c:pt idx="10">
                  <c:v>3581.47</c:v>
                </c:pt>
                <c:pt idx="11">
                  <c:v>2466.36</c:v>
                </c:pt>
                <c:pt idx="12">
                  <c:v>2172</c:v>
                </c:pt>
                <c:pt idx="13">
                  <c:v>3719</c:v>
                </c:pt>
                <c:pt idx="14">
                  <c:v>2669</c:v>
                </c:pt>
                <c:pt idx="15">
                  <c:v>1636</c:v>
                </c:pt>
                <c:pt idx="16">
                  <c:v>348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'2025年门店销售时段分析'!$B$62</c:f>
              <c:strCache>
                <c:ptCount val="1"/>
                <c:pt idx="0">
                  <c:v>3月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'2025年门店销售时段分析'!$C$58:$V$58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'2025年门店销售时段分析'!$C$62:$V$62</c:f>
              <c:numCache>
                <c:formatCode>#,##0.00;"-"#,##0.00;#,##0.00;General</c:formatCode>
                <c:ptCount val="20"/>
                <c:pt idx="1">
                  <c:v>49</c:v>
                </c:pt>
                <c:pt idx="2">
                  <c:v>1953.6</c:v>
                </c:pt>
                <c:pt idx="3">
                  <c:v>8635.13</c:v>
                </c:pt>
                <c:pt idx="4">
                  <c:v>13759.61</c:v>
                </c:pt>
                <c:pt idx="5">
                  <c:v>9908.44</c:v>
                </c:pt>
                <c:pt idx="6">
                  <c:v>5895.7</c:v>
                </c:pt>
                <c:pt idx="7">
                  <c:v>5937.84</c:v>
                </c:pt>
                <c:pt idx="8">
                  <c:v>6733.55</c:v>
                </c:pt>
                <c:pt idx="9">
                  <c:v>3231.8</c:v>
                </c:pt>
                <c:pt idx="10">
                  <c:v>2696.6</c:v>
                </c:pt>
                <c:pt idx="11">
                  <c:v>1686.06</c:v>
                </c:pt>
                <c:pt idx="12">
                  <c:v>1854.7</c:v>
                </c:pt>
                <c:pt idx="13">
                  <c:v>3972.6</c:v>
                </c:pt>
                <c:pt idx="14">
                  <c:v>2974.97</c:v>
                </c:pt>
                <c:pt idx="15">
                  <c:v>2146.6</c:v>
                </c:pt>
                <c:pt idx="16">
                  <c:v>364</c:v>
                </c:pt>
                <c:pt idx="17">
                  <c:v>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'2025年门店销售时段分析'!$B$63</c:f>
              <c:strCache>
                <c:ptCount val="1"/>
                <c:pt idx="0">
                  <c:v>4月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'2025年门店销售时段分析'!$C$58:$V$58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'2025年门店销售时段分析'!$C$63:$V$63</c:f>
              <c:numCache>
                <c:formatCode>#,##0.00;"-"#,##0.00;#,##0.00;General</c:formatCode>
                <c:ptCount val="20"/>
                <c:pt idx="1">
                  <c:v>102</c:v>
                </c:pt>
                <c:pt idx="2">
                  <c:v>2830.3</c:v>
                </c:pt>
                <c:pt idx="3">
                  <c:v>9192.14</c:v>
                </c:pt>
                <c:pt idx="4">
                  <c:v>14393.54</c:v>
                </c:pt>
                <c:pt idx="5">
                  <c:v>8987.52</c:v>
                </c:pt>
                <c:pt idx="6">
                  <c:v>5247.2</c:v>
                </c:pt>
                <c:pt idx="7">
                  <c:v>4795.17</c:v>
                </c:pt>
                <c:pt idx="8">
                  <c:v>5978.58</c:v>
                </c:pt>
                <c:pt idx="9">
                  <c:v>3271.2</c:v>
                </c:pt>
                <c:pt idx="10">
                  <c:v>2278.6</c:v>
                </c:pt>
                <c:pt idx="11">
                  <c:v>1241</c:v>
                </c:pt>
                <c:pt idx="12">
                  <c:v>1807.26</c:v>
                </c:pt>
                <c:pt idx="13">
                  <c:v>3748.28</c:v>
                </c:pt>
                <c:pt idx="14">
                  <c:v>3155.8</c:v>
                </c:pt>
                <c:pt idx="15">
                  <c:v>2218.29</c:v>
                </c:pt>
                <c:pt idx="16">
                  <c:v>606.5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'2025年门店销售时段分析'!$B$64</c:f>
              <c:strCache>
                <c:ptCount val="1"/>
                <c:pt idx="0">
                  <c:v>5月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'2025年门店销售时段分析'!$C$58:$V$58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'2025年门店销售时段分析'!$C$64:$V$64</c:f>
              <c:numCache>
                <c:formatCode>#,##0.00;"-"#,##0.00;#,##0.00;General</c:formatCode>
                <c:ptCount val="20"/>
                <c:pt idx="1">
                  <c:v>319.09</c:v>
                </c:pt>
                <c:pt idx="2">
                  <c:v>3532.97</c:v>
                </c:pt>
                <c:pt idx="3">
                  <c:v>10674.82</c:v>
                </c:pt>
                <c:pt idx="4">
                  <c:v>16101.75</c:v>
                </c:pt>
                <c:pt idx="5">
                  <c:v>11566.21</c:v>
                </c:pt>
                <c:pt idx="6">
                  <c:v>6147.42</c:v>
                </c:pt>
                <c:pt idx="7">
                  <c:v>5484.96</c:v>
                </c:pt>
                <c:pt idx="8">
                  <c:v>6011.65</c:v>
                </c:pt>
                <c:pt idx="9">
                  <c:v>3236.08</c:v>
                </c:pt>
                <c:pt idx="10">
                  <c:v>2741.7</c:v>
                </c:pt>
                <c:pt idx="11">
                  <c:v>1407.65</c:v>
                </c:pt>
                <c:pt idx="12">
                  <c:v>1802.02</c:v>
                </c:pt>
                <c:pt idx="13">
                  <c:v>4554.28</c:v>
                </c:pt>
                <c:pt idx="14">
                  <c:v>3850.64</c:v>
                </c:pt>
                <c:pt idx="15">
                  <c:v>2247.95</c:v>
                </c:pt>
                <c:pt idx="16">
                  <c:v>886.22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'2025年门店销售时段分析'!$B$65</c:f>
              <c:strCache>
                <c:ptCount val="1"/>
                <c:pt idx="0">
                  <c:v>6月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'2025年门店销售时段分析'!$C$58:$V$58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'2025年门店销售时段分析'!$C$65:$V$65</c:f>
              <c:numCache>
                <c:formatCode>#,##0.00;"-"#,##0.00;#,##0.00;General</c:formatCode>
                <c:ptCount val="20"/>
                <c:pt idx="1">
                  <c:v>241.49</c:v>
                </c:pt>
                <c:pt idx="2">
                  <c:v>3288.21</c:v>
                </c:pt>
                <c:pt idx="3">
                  <c:v>9683.76</c:v>
                </c:pt>
                <c:pt idx="4">
                  <c:v>13267.03</c:v>
                </c:pt>
                <c:pt idx="5">
                  <c:v>10981.73</c:v>
                </c:pt>
                <c:pt idx="6">
                  <c:v>5700.56</c:v>
                </c:pt>
                <c:pt idx="7">
                  <c:v>5859.14</c:v>
                </c:pt>
                <c:pt idx="8">
                  <c:v>5562.62</c:v>
                </c:pt>
                <c:pt idx="9">
                  <c:v>3794.87</c:v>
                </c:pt>
                <c:pt idx="10">
                  <c:v>2293.2</c:v>
                </c:pt>
                <c:pt idx="11">
                  <c:v>1552.54</c:v>
                </c:pt>
                <c:pt idx="12">
                  <c:v>1883.27</c:v>
                </c:pt>
                <c:pt idx="13">
                  <c:v>4007.71</c:v>
                </c:pt>
                <c:pt idx="14">
                  <c:v>3810.24</c:v>
                </c:pt>
                <c:pt idx="15">
                  <c:v>2452.65</c:v>
                </c:pt>
                <c:pt idx="16">
                  <c:v>966.12</c:v>
                </c:pt>
                <c:pt idx="17">
                  <c:v>2.3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'2025年门店销售时段分析'!$B$66</c:f>
              <c:strCache>
                <c:ptCount val="1"/>
                <c:pt idx="0">
                  <c:v>7月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'2025年门店销售时段分析'!$C$58:$V$58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'2025年门店销售时段分析'!$C$66:$V$66</c:f>
              <c:numCache>
                <c:formatCode>#,##0.00;"-"#,##0.00;#,##0.00;General</c:formatCode>
                <c:ptCount val="20"/>
                <c:pt idx="1">
                  <c:v>273.77</c:v>
                </c:pt>
                <c:pt idx="2">
                  <c:v>3361.25</c:v>
                </c:pt>
                <c:pt idx="3">
                  <c:v>11591.12</c:v>
                </c:pt>
                <c:pt idx="4">
                  <c:v>14856.82</c:v>
                </c:pt>
                <c:pt idx="5">
                  <c:v>12121.93</c:v>
                </c:pt>
                <c:pt idx="6">
                  <c:v>7261.78</c:v>
                </c:pt>
                <c:pt idx="7">
                  <c:v>6637.82</c:v>
                </c:pt>
                <c:pt idx="8">
                  <c:v>6228.04</c:v>
                </c:pt>
                <c:pt idx="9">
                  <c:v>3299.4</c:v>
                </c:pt>
                <c:pt idx="10">
                  <c:v>2520.72</c:v>
                </c:pt>
                <c:pt idx="11">
                  <c:v>1657.4</c:v>
                </c:pt>
                <c:pt idx="12">
                  <c:v>2120.01</c:v>
                </c:pt>
                <c:pt idx="13">
                  <c:v>4087.63</c:v>
                </c:pt>
                <c:pt idx="14">
                  <c:v>3987.48</c:v>
                </c:pt>
                <c:pt idx="15">
                  <c:v>3305.85</c:v>
                </c:pt>
                <c:pt idx="16">
                  <c:v>1417.76</c:v>
                </c:pt>
                <c:pt idx="17">
                  <c:v>41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'2025年门店销售时段分析'!$B$67</c:f>
              <c:strCache>
                <c:ptCount val="1"/>
                <c:pt idx="0">
                  <c:v>8月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'2025年门店销售时段分析'!$C$58:$V$58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'2025年门店销售时段分析'!$C$67:$V$67</c:f>
              <c:numCache>
                <c:formatCode>#,##0.00;"-"#,##0.00;#,##0.00;General</c:formatCode>
                <c:ptCount val="20"/>
                <c:pt idx="1">
                  <c:v>390.4</c:v>
                </c:pt>
                <c:pt idx="2">
                  <c:v>2793.7</c:v>
                </c:pt>
                <c:pt idx="3">
                  <c:v>10596.68</c:v>
                </c:pt>
                <c:pt idx="4">
                  <c:v>15921.04</c:v>
                </c:pt>
                <c:pt idx="5">
                  <c:v>13071.76</c:v>
                </c:pt>
                <c:pt idx="6">
                  <c:v>7088.52</c:v>
                </c:pt>
                <c:pt idx="7">
                  <c:v>6903.83</c:v>
                </c:pt>
                <c:pt idx="8">
                  <c:v>6064.62</c:v>
                </c:pt>
                <c:pt idx="9">
                  <c:v>3856.18</c:v>
                </c:pt>
                <c:pt idx="10">
                  <c:v>2493.85</c:v>
                </c:pt>
                <c:pt idx="11">
                  <c:v>2021.15</c:v>
                </c:pt>
                <c:pt idx="12">
                  <c:v>2528.55</c:v>
                </c:pt>
                <c:pt idx="13">
                  <c:v>5051.28</c:v>
                </c:pt>
                <c:pt idx="14">
                  <c:v>4163.65</c:v>
                </c:pt>
                <c:pt idx="15">
                  <c:v>3187.4</c:v>
                </c:pt>
                <c:pt idx="16">
                  <c:v>1210.1</c:v>
                </c:pt>
                <c:pt idx="17">
                  <c:v>16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'2025年门店销售时段分析'!$B$68</c:f>
              <c:strCache>
                <c:ptCount val="1"/>
                <c:pt idx="0">
                  <c:v>9月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'2025年门店销售时段分析'!$C$58:$V$58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'2025年门店销售时段分析'!$C$68:$V$68</c:f>
              <c:numCache>
                <c:formatCode>#,##0.00_);[Red]\(#,##0.00\)</c:formatCode>
                <c:ptCount val="20"/>
                <c:pt idx="0">
                  <c:v>55.83</c:v>
                </c:pt>
                <c:pt idx="1" c:formatCode="#,##0.00;&quot;-&quot;#,##0.00;#,##0.00;General">
                  <c:v>402.58</c:v>
                </c:pt>
                <c:pt idx="2" c:formatCode="#,##0.00;&quot;-&quot;#,##0.00;#,##0.00;General">
                  <c:v>5001.78</c:v>
                </c:pt>
                <c:pt idx="3" c:formatCode="#,##0.00;&quot;-&quot;#,##0.00;#,##0.00;General">
                  <c:v>11753.65</c:v>
                </c:pt>
                <c:pt idx="4" c:formatCode="#,##0.00;&quot;-&quot;#,##0.00;#,##0.00;General">
                  <c:v>16029.97</c:v>
                </c:pt>
                <c:pt idx="5" c:formatCode="#,##0.00;&quot;-&quot;#,##0.00;#,##0.00;General">
                  <c:v>10584.53</c:v>
                </c:pt>
                <c:pt idx="6" c:formatCode="#,##0.00;&quot;-&quot;#,##0.00;#,##0.00;General">
                  <c:v>5750.12</c:v>
                </c:pt>
                <c:pt idx="7" c:formatCode="#,##0.00;&quot;-&quot;#,##0.00;#,##0.00;General">
                  <c:v>6468.38</c:v>
                </c:pt>
                <c:pt idx="8" c:formatCode="#,##0.00;&quot;-&quot;#,##0.00;#,##0.00;General">
                  <c:v>7469.75</c:v>
                </c:pt>
                <c:pt idx="9" c:formatCode="#,##0.00;&quot;-&quot;#,##0.00;#,##0.00;General">
                  <c:v>4036.85</c:v>
                </c:pt>
                <c:pt idx="10" c:formatCode="#,##0.00;&quot;-&quot;#,##0.00;#,##0.00;General">
                  <c:v>2994.6</c:v>
                </c:pt>
                <c:pt idx="11" c:formatCode="#,##0.00;&quot;-&quot;#,##0.00;#,##0.00;General">
                  <c:v>1870.8</c:v>
                </c:pt>
                <c:pt idx="12" c:formatCode="#,##0.00;&quot;-&quot;#,##0.00;#,##0.00;General">
                  <c:v>2504.02</c:v>
                </c:pt>
                <c:pt idx="13" c:formatCode="#,##0.00;&quot;-&quot;#,##0.00;#,##0.00;General">
                  <c:v>5478.84</c:v>
                </c:pt>
                <c:pt idx="14" c:formatCode="#,##0.00;&quot;-&quot;#,##0.00;#,##0.00;General">
                  <c:v>5043.19</c:v>
                </c:pt>
                <c:pt idx="15" c:formatCode="#,##0.00;&quot;-&quot;#,##0.00;#,##0.00;General">
                  <c:v>2559.45</c:v>
                </c:pt>
                <c:pt idx="16" c:formatCode="#,##0.00;&quot;-&quot;#,##0.00;#,##0.00;General">
                  <c:v>758.71</c:v>
                </c:pt>
                <c:pt idx="17" c:formatCode="#,##0.00;&quot;-&quot;#,##0.00;#,##0.00;General">
                  <c:v>4.31</c:v>
                </c:pt>
                <c:pt idx="18" c:formatCode="#,##0.00;&quot;-&quot;#,##0.00;#,##0.00;General">
                  <c:v>19.27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'2025年门店销售时段分析'!$B$69</c:f>
              <c:strCache>
                <c:ptCount val="1"/>
                <c:pt idx="0">
                  <c:v>10月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'2025年门店销售时段分析'!$C$58:$V$58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'2025年门店销售时段分析'!$C$69:$V$69</c:f>
              <c:numCache>
                <c:formatCode>#,##0.00_);[Red]\(#,##0.00\)</c:formatCode>
                <c:ptCount val="20"/>
                <c:pt idx="0">
                  <c:v>204.18</c:v>
                </c:pt>
                <c:pt idx="1" c:formatCode="#,##0.00;&quot;-&quot;#,##0.00;#,##0.00;General">
                  <c:v>221.22</c:v>
                </c:pt>
                <c:pt idx="2" c:formatCode="#,##0.00;&quot;-&quot;#,##0.00;#,##0.00;General">
                  <c:v>3472.51</c:v>
                </c:pt>
                <c:pt idx="3" c:formatCode="#,##0.00;&quot;-&quot;#,##0.00;#,##0.00;General">
                  <c:v>12794.23</c:v>
                </c:pt>
                <c:pt idx="4" c:formatCode="#,##0.00;&quot;-&quot;#,##0.00;#,##0.00;General">
                  <c:v>19438.08</c:v>
                </c:pt>
                <c:pt idx="5" c:formatCode="#,##0.00;&quot;-&quot;#,##0.00;#,##0.00;General">
                  <c:v>13388.09</c:v>
                </c:pt>
                <c:pt idx="6" c:formatCode="#,##0.00;&quot;-&quot;#,##0.00;#,##0.00;General">
                  <c:v>7972.76</c:v>
                </c:pt>
                <c:pt idx="7" c:formatCode="#,##0.00;&quot;-&quot;#,##0.00;#,##0.00;General">
                  <c:v>8207.75</c:v>
                </c:pt>
                <c:pt idx="8" c:formatCode="#,##0.00;&quot;-&quot;#,##0.00;#,##0.00;General">
                  <c:v>8002.94</c:v>
                </c:pt>
                <c:pt idx="9" c:formatCode="#,##0.00;&quot;-&quot;#,##0.00;#,##0.00;General">
                  <c:v>5227.7</c:v>
                </c:pt>
                <c:pt idx="10" c:formatCode="#,##0.00;&quot;-&quot;#,##0.00;#,##0.00;General">
                  <c:v>3253.9</c:v>
                </c:pt>
                <c:pt idx="11" c:formatCode="#,##0.00;&quot;-&quot;#,##0.00;#,##0.00;General">
                  <c:v>1869.16</c:v>
                </c:pt>
                <c:pt idx="12" c:formatCode="#,##0.00;&quot;-&quot;#,##0.00;#,##0.00;General">
                  <c:v>3064.84</c:v>
                </c:pt>
                <c:pt idx="13" c:formatCode="#,##0.00;&quot;-&quot;#,##0.00;#,##0.00;General">
                  <c:v>6265.9</c:v>
                </c:pt>
                <c:pt idx="14" c:formatCode="#,##0.00;&quot;-&quot;#,##0.00;#,##0.00;General">
                  <c:v>4816.94</c:v>
                </c:pt>
                <c:pt idx="15" c:formatCode="#,##0.00;&quot;-&quot;#,##0.00;#,##0.00;General">
                  <c:v>2437.55</c:v>
                </c:pt>
                <c:pt idx="16" c:formatCode="#,##0.00;&quot;-&quot;#,##0.00;#,##0.00;General">
                  <c:v>379.28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'2025年门店销售时段分析'!$B$70</c:f>
              <c:strCache>
                <c:ptCount val="1"/>
                <c:pt idx="0">
                  <c:v>11月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'2025年门店销售时段分析'!$C$58:$V$58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'2025年门店销售时段分析'!$C$70:$V$70</c:f>
              <c:numCache>
                <c:formatCode>#,##0.00;"-"#,##0.00;#,##0.00;General</c:formatCode>
                <c:ptCount val="20"/>
                <c:pt idx="0">
                  <c:v>83.06</c:v>
                </c:pt>
                <c:pt idx="1">
                  <c:v>181.24</c:v>
                </c:pt>
                <c:pt idx="2">
                  <c:v>2985.74</c:v>
                </c:pt>
                <c:pt idx="3">
                  <c:v>10589.69</c:v>
                </c:pt>
                <c:pt idx="4">
                  <c:v>19495.13</c:v>
                </c:pt>
                <c:pt idx="5">
                  <c:v>13924.85</c:v>
                </c:pt>
                <c:pt idx="6">
                  <c:v>7311.22</c:v>
                </c:pt>
                <c:pt idx="7">
                  <c:v>8643.06</c:v>
                </c:pt>
                <c:pt idx="8">
                  <c:v>9045.11</c:v>
                </c:pt>
                <c:pt idx="9">
                  <c:v>5851.2</c:v>
                </c:pt>
                <c:pt idx="10">
                  <c:v>3626.05</c:v>
                </c:pt>
                <c:pt idx="11">
                  <c:v>2189.05</c:v>
                </c:pt>
                <c:pt idx="12">
                  <c:v>2553.77</c:v>
                </c:pt>
                <c:pt idx="13">
                  <c:v>6294.99</c:v>
                </c:pt>
                <c:pt idx="14">
                  <c:v>5283.91</c:v>
                </c:pt>
                <c:pt idx="15">
                  <c:v>2632.68</c:v>
                </c:pt>
                <c:pt idx="16">
                  <c:v>324.8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'2025年门店销售时段分析'!$B$71</c:f>
              <c:strCache>
                <c:ptCount val="1"/>
                <c:pt idx="0">
                  <c:v>12月</c:v>
                </c:pt>
              </c:strCache>
            </c:strRef>
          </c:tx>
          <c:spPr>
            <a:ln w="28575" cap="rnd" cmpd="sng">
              <a:solidFill>
                <a:srgbClr val="FF0000"/>
              </a:solidFill>
              <a:prstDash val="solid"/>
              <a:round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strRef>
              <c:f>'2025年门店销售时段分析'!$C$58:$V$58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'2025年门店销售时段分析'!$C$71:$V$71</c:f>
              <c:numCache>
                <c:formatCode>#,##0.00;"-"#,##0.00;#,##0.00;General</c:formatCode>
                <c:ptCount val="20"/>
                <c:pt idx="0">
                  <c:v>71.28</c:v>
                </c:pt>
                <c:pt idx="1">
                  <c:v>399.27</c:v>
                </c:pt>
                <c:pt idx="2">
                  <c:v>2469.05</c:v>
                </c:pt>
                <c:pt idx="3">
                  <c:v>12717.64</c:v>
                </c:pt>
                <c:pt idx="4">
                  <c:v>22927.89</c:v>
                </c:pt>
                <c:pt idx="5">
                  <c:v>17322.91</c:v>
                </c:pt>
                <c:pt idx="6">
                  <c:v>9743.45</c:v>
                </c:pt>
                <c:pt idx="7">
                  <c:v>10690.34</c:v>
                </c:pt>
                <c:pt idx="8">
                  <c:v>9846.96</c:v>
                </c:pt>
                <c:pt idx="9">
                  <c:v>7006.02</c:v>
                </c:pt>
                <c:pt idx="10">
                  <c:v>4412.6</c:v>
                </c:pt>
                <c:pt idx="11">
                  <c:v>2950.65</c:v>
                </c:pt>
                <c:pt idx="12">
                  <c:v>3880.63</c:v>
                </c:pt>
                <c:pt idx="13">
                  <c:v>6840.97</c:v>
                </c:pt>
                <c:pt idx="14">
                  <c:v>5668.37</c:v>
                </c:pt>
                <c:pt idx="15">
                  <c:v>3199.91</c:v>
                </c:pt>
                <c:pt idx="16">
                  <c:v>299.86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251583"/>
        <c:axId val="793867628"/>
      </c:lineChart>
      <c:catAx>
        <c:axId val="754251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867628"/>
        <c:crosses val="autoZero"/>
        <c:auto val="1"/>
        <c:lblAlgn val="ctr"/>
        <c:lblOffset val="100"/>
        <c:noMultiLvlLbl val="0"/>
      </c:catAx>
      <c:valAx>
        <c:axId val="7938676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25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东辉花园店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'2025年门店销售时段分析'!$B$77</c:f>
              <c:strCache>
                <c:ptCount val="1"/>
                <c:pt idx="0">
                  <c:v>时段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'2025年门店销售时段分析'!$C$76:$V$76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'2025年门店销售时段分析'!$C$77:$V$77</c:f>
              <c:numCache>
                <c:formatCode>#,##0.00_);[Red]\(#,##0.00\)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'2025年门店销售时段分析'!$B$78</c:f>
              <c:strCache>
                <c:ptCount val="1"/>
                <c:pt idx="0">
                  <c:v>1月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'2025年门店销售时段分析'!$C$76:$V$76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'2025年门店销售时段分析'!$C$78:$V$78</c:f>
              <c:numCache>
                <c:formatCode>#,##0.00;"-"#,##0.00;#,##0.00;General</c:formatCode>
                <c:ptCount val="20"/>
              </c:numCache>
            </c:numRef>
          </c:val>
          <c:smooth val="0"/>
        </c:ser>
        <c:ser>
          <c:idx val="2"/>
          <c:order val="2"/>
          <c:tx>
            <c:strRef>
              <c:f>'2025年门店销售时段分析'!$B$79</c:f>
              <c:strCache>
                <c:ptCount val="1"/>
                <c:pt idx="0">
                  <c:v>2月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'2025年门店销售时段分析'!$C$76:$V$76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'2025年门店销售时段分析'!$C$79:$V$79</c:f>
              <c:numCache>
                <c:formatCode>#,##0.00;"-"#,##0.00;#,##0.00;General</c:formatCode>
                <c:ptCount val="20"/>
              </c:numCache>
            </c:numRef>
          </c:val>
          <c:smooth val="0"/>
        </c:ser>
        <c:ser>
          <c:idx val="3"/>
          <c:order val="3"/>
          <c:tx>
            <c:strRef>
              <c:f>'2025年门店销售时段分析'!$B$80</c:f>
              <c:strCache>
                <c:ptCount val="1"/>
                <c:pt idx="0">
                  <c:v>3月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'2025年门店销售时段分析'!$C$76:$V$76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'2025年门店销售时段分析'!$C$80:$V$80</c:f>
              <c:numCache>
                <c:formatCode>#,##0.00;"-"#,##0.00;#,##0.00;General</c:formatCode>
                <c:ptCount val="20"/>
                <c:pt idx="2">
                  <c:v>1264.6</c:v>
                </c:pt>
                <c:pt idx="3">
                  <c:v>4897.3</c:v>
                </c:pt>
                <c:pt idx="4">
                  <c:v>7671</c:v>
                </c:pt>
                <c:pt idx="5">
                  <c:v>3978</c:v>
                </c:pt>
                <c:pt idx="6">
                  <c:v>1992.2</c:v>
                </c:pt>
                <c:pt idx="7">
                  <c:v>4160.4</c:v>
                </c:pt>
                <c:pt idx="8">
                  <c:v>6061.1</c:v>
                </c:pt>
                <c:pt idx="9">
                  <c:v>1794.3</c:v>
                </c:pt>
                <c:pt idx="10">
                  <c:v>947.4</c:v>
                </c:pt>
                <c:pt idx="11">
                  <c:v>937.9</c:v>
                </c:pt>
                <c:pt idx="12">
                  <c:v>532.7</c:v>
                </c:pt>
                <c:pt idx="13">
                  <c:v>2328.4</c:v>
                </c:pt>
                <c:pt idx="14">
                  <c:v>2173.2</c:v>
                </c:pt>
                <c:pt idx="15">
                  <c:v>2906.1</c:v>
                </c:pt>
                <c:pt idx="16">
                  <c:v>174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'2025年门店销售时段分析'!$B$81</c:f>
              <c:strCache>
                <c:ptCount val="1"/>
                <c:pt idx="0">
                  <c:v>4月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'2025年门店销售时段分析'!$C$76:$V$76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'2025年门店销售时段分析'!$C$81:$V$81</c:f>
              <c:numCache>
                <c:formatCode>#,##0.00;"-"#,##0.00;#,##0.00;General</c:formatCode>
                <c:ptCount val="20"/>
                <c:pt idx="1">
                  <c:v>114</c:v>
                </c:pt>
                <c:pt idx="2">
                  <c:v>4186.6</c:v>
                </c:pt>
                <c:pt idx="3">
                  <c:v>15761.6</c:v>
                </c:pt>
                <c:pt idx="4">
                  <c:v>23156.9</c:v>
                </c:pt>
                <c:pt idx="5">
                  <c:v>12030.2</c:v>
                </c:pt>
                <c:pt idx="6">
                  <c:v>5934</c:v>
                </c:pt>
                <c:pt idx="7">
                  <c:v>10335</c:v>
                </c:pt>
                <c:pt idx="8">
                  <c:v>21336.7</c:v>
                </c:pt>
                <c:pt idx="9">
                  <c:v>6621.4</c:v>
                </c:pt>
                <c:pt idx="10">
                  <c:v>3646.4</c:v>
                </c:pt>
                <c:pt idx="11">
                  <c:v>2139.6</c:v>
                </c:pt>
                <c:pt idx="12">
                  <c:v>1845.5</c:v>
                </c:pt>
                <c:pt idx="13">
                  <c:v>5714.4</c:v>
                </c:pt>
                <c:pt idx="14">
                  <c:v>7752.8</c:v>
                </c:pt>
                <c:pt idx="15">
                  <c:v>5141.8</c:v>
                </c:pt>
                <c:pt idx="16">
                  <c:v>1742.1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'2025年门店销售时段分析'!$B$82</c:f>
              <c:strCache>
                <c:ptCount val="1"/>
                <c:pt idx="0">
                  <c:v>5月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'2025年门店销售时段分析'!$C$76:$V$76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'2025年门店销售时段分析'!$C$82:$V$82</c:f>
              <c:numCache>
                <c:formatCode>#,##0.00;"-"#,##0.00;#,##0.00;General</c:formatCode>
                <c:ptCount val="20"/>
                <c:pt idx="1">
                  <c:v>210</c:v>
                </c:pt>
                <c:pt idx="2">
                  <c:v>4445.1</c:v>
                </c:pt>
                <c:pt idx="3">
                  <c:v>14560.32</c:v>
                </c:pt>
                <c:pt idx="4">
                  <c:v>20848.54</c:v>
                </c:pt>
                <c:pt idx="5">
                  <c:v>10980.3</c:v>
                </c:pt>
                <c:pt idx="6">
                  <c:v>5548.84</c:v>
                </c:pt>
                <c:pt idx="7">
                  <c:v>10271.8</c:v>
                </c:pt>
                <c:pt idx="8">
                  <c:v>19676.3</c:v>
                </c:pt>
                <c:pt idx="9">
                  <c:v>6507.8</c:v>
                </c:pt>
                <c:pt idx="10">
                  <c:v>2932.01</c:v>
                </c:pt>
                <c:pt idx="11">
                  <c:v>1687.96</c:v>
                </c:pt>
                <c:pt idx="12">
                  <c:v>1755.63</c:v>
                </c:pt>
                <c:pt idx="13">
                  <c:v>4464.47</c:v>
                </c:pt>
                <c:pt idx="14">
                  <c:v>6507.48</c:v>
                </c:pt>
                <c:pt idx="15">
                  <c:v>3800.81</c:v>
                </c:pt>
                <c:pt idx="16">
                  <c:v>1262.38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'2025年门店销售时段分析'!$B$83</c:f>
              <c:strCache>
                <c:ptCount val="1"/>
                <c:pt idx="0">
                  <c:v>6月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'2025年门店销售时段分析'!$C$76:$V$76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'2025年门店销售时段分析'!$C$83:$V$83</c:f>
              <c:numCache>
                <c:formatCode>#,##0.00;"-"#,##0.00;#,##0.00;General</c:formatCode>
                <c:ptCount val="20"/>
                <c:pt idx="0">
                  <c:v>103.31</c:v>
                </c:pt>
                <c:pt idx="1">
                  <c:v>551.29</c:v>
                </c:pt>
                <c:pt idx="2">
                  <c:v>5218.22</c:v>
                </c:pt>
                <c:pt idx="3">
                  <c:v>14015.36</c:v>
                </c:pt>
                <c:pt idx="4">
                  <c:v>21668.61</c:v>
                </c:pt>
                <c:pt idx="5">
                  <c:v>12308.77</c:v>
                </c:pt>
                <c:pt idx="6">
                  <c:v>7024.85</c:v>
                </c:pt>
                <c:pt idx="7">
                  <c:v>11346.95</c:v>
                </c:pt>
                <c:pt idx="8">
                  <c:v>19358.61</c:v>
                </c:pt>
                <c:pt idx="9">
                  <c:v>6372.19</c:v>
                </c:pt>
                <c:pt idx="10">
                  <c:v>4118.17</c:v>
                </c:pt>
                <c:pt idx="11">
                  <c:v>2691.34</c:v>
                </c:pt>
                <c:pt idx="12">
                  <c:v>1893.97</c:v>
                </c:pt>
                <c:pt idx="13">
                  <c:v>4400.35</c:v>
                </c:pt>
                <c:pt idx="14">
                  <c:v>7635.29</c:v>
                </c:pt>
                <c:pt idx="15">
                  <c:v>4782.32</c:v>
                </c:pt>
                <c:pt idx="16">
                  <c:v>1237.63</c:v>
                </c:pt>
                <c:pt idx="17">
                  <c:v>24.4</c:v>
                </c:pt>
                <c:pt idx="18">
                  <c:v>68.86</c:v>
                </c:pt>
                <c:pt idx="19">
                  <c:v>61.97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'2025年门店销售时段分析'!$B$84</c:f>
              <c:strCache>
                <c:ptCount val="1"/>
                <c:pt idx="0">
                  <c:v>7月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'2025年门店销售时段分析'!$C$76:$V$76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'2025年门店销售时段分析'!$C$84:$V$84</c:f>
              <c:numCache>
                <c:formatCode>#,##0.00;"-"#,##0.00;#,##0.00;General</c:formatCode>
                <c:ptCount val="20"/>
                <c:pt idx="0">
                  <c:v>112.36</c:v>
                </c:pt>
                <c:pt idx="1">
                  <c:v>891.53</c:v>
                </c:pt>
                <c:pt idx="2">
                  <c:v>5480.88</c:v>
                </c:pt>
                <c:pt idx="3">
                  <c:v>19293.95</c:v>
                </c:pt>
                <c:pt idx="4">
                  <c:v>26806.74</c:v>
                </c:pt>
                <c:pt idx="5">
                  <c:v>14059.5</c:v>
                </c:pt>
                <c:pt idx="6">
                  <c:v>8444.95</c:v>
                </c:pt>
                <c:pt idx="7">
                  <c:v>12901.7</c:v>
                </c:pt>
                <c:pt idx="8">
                  <c:v>25775.17</c:v>
                </c:pt>
                <c:pt idx="9">
                  <c:v>7236.65</c:v>
                </c:pt>
                <c:pt idx="10">
                  <c:v>3796.05</c:v>
                </c:pt>
                <c:pt idx="11">
                  <c:v>2112.77</c:v>
                </c:pt>
                <c:pt idx="12">
                  <c:v>2050.7</c:v>
                </c:pt>
                <c:pt idx="13">
                  <c:v>4889.75</c:v>
                </c:pt>
                <c:pt idx="14">
                  <c:v>7244.73</c:v>
                </c:pt>
                <c:pt idx="15">
                  <c:v>4307.5</c:v>
                </c:pt>
                <c:pt idx="16">
                  <c:v>551.54</c:v>
                </c:pt>
                <c:pt idx="17">
                  <c:v>269.76</c:v>
                </c:pt>
                <c:pt idx="18">
                  <c:v>339.94</c:v>
                </c:pt>
                <c:pt idx="19">
                  <c:v>444.57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'2025年门店销售时段分析'!$B$85</c:f>
              <c:strCache>
                <c:ptCount val="1"/>
                <c:pt idx="0">
                  <c:v>8月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'2025年门店销售时段分析'!$C$76:$V$76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'2025年门店销售时段分析'!$C$85:$V$85</c:f>
              <c:numCache>
                <c:formatCode>#,##0.00;"-"#,##0.00;#,##0.00;General</c:formatCode>
                <c:ptCount val="20"/>
                <c:pt idx="0">
                  <c:v>333.57</c:v>
                </c:pt>
                <c:pt idx="1">
                  <c:v>495.12</c:v>
                </c:pt>
                <c:pt idx="2">
                  <c:v>4675.3</c:v>
                </c:pt>
                <c:pt idx="3">
                  <c:v>17296.28</c:v>
                </c:pt>
                <c:pt idx="4">
                  <c:v>26506.52</c:v>
                </c:pt>
                <c:pt idx="5">
                  <c:v>15369.51</c:v>
                </c:pt>
                <c:pt idx="6">
                  <c:v>8296.6</c:v>
                </c:pt>
                <c:pt idx="7">
                  <c:v>12498.66</c:v>
                </c:pt>
                <c:pt idx="8">
                  <c:v>19626.65</c:v>
                </c:pt>
                <c:pt idx="9">
                  <c:v>6708.22</c:v>
                </c:pt>
                <c:pt idx="10">
                  <c:v>3408.71</c:v>
                </c:pt>
                <c:pt idx="11">
                  <c:v>2412.22</c:v>
                </c:pt>
                <c:pt idx="12">
                  <c:v>2369.88</c:v>
                </c:pt>
                <c:pt idx="13">
                  <c:v>4713.01</c:v>
                </c:pt>
                <c:pt idx="14">
                  <c:v>6305.45</c:v>
                </c:pt>
                <c:pt idx="15">
                  <c:v>4051.97</c:v>
                </c:pt>
                <c:pt idx="16">
                  <c:v>129.31</c:v>
                </c:pt>
                <c:pt idx="17">
                  <c:v>223.1</c:v>
                </c:pt>
                <c:pt idx="18">
                  <c:v>178.62</c:v>
                </c:pt>
                <c:pt idx="19">
                  <c:v>167.9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'2025年门店销售时段分析'!$B$86</c:f>
              <c:strCache>
                <c:ptCount val="1"/>
                <c:pt idx="0">
                  <c:v>9月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'2025年门店销售时段分析'!$C$76:$V$76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'2025年门店销售时段分析'!$C$86:$V$86</c:f>
              <c:numCache>
                <c:formatCode>#,##0.00_);[Red]\(#,##0.00\)</c:formatCode>
                <c:ptCount val="20"/>
                <c:pt idx="0">
                  <c:v>106.14</c:v>
                </c:pt>
                <c:pt idx="1" c:formatCode="#,##0.00;&quot;-&quot;#,##0.00;#,##0.00;General">
                  <c:v>198.79</c:v>
                </c:pt>
                <c:pt idx="2" c:formatCode="#,##0.00;&quot;-&quot;#,##0.00;#,##0.00;General">
                  <c:v>4508.96</c:v>
                </c:pt>
                <c:pt idx="3" c:formatCode="#,##0.00;&quot;-&quot;#,##0.00;#,##0.00;General">
                  <c:v>14717.27</c:v>
                </c:pt>
                <c:pt idx="4" c:formatCode="#,##0.00;&quot;-&quot;#,##0.00;#,##0.00;General">
                  <c:v>21423.68</c:v>
                </c:pt>
                <c:pt idx="5" c:formatCode="#,##0.00;&quot;-&quot;#,##0.00;#,##0.00;General">
                  <c:v>9614.6</c:v>
                </c:pt>
                <c:pt idx="6" c:formatCode="#,##0.00;&quot;-&quot;#,##0.00;#,##0.00;General">
                  <c:v>6347.13</c:v>
                </c:pt>
                <c:pt idx="7" c:formatCode="#,##0.00;&quot;-&quot;#,##0.00;#,##0.00;General">
                  <c:v>10036.43</c:v>
                </c:pt>
                <c:pt idx="8" c:formatCode="#,##0.00;&quot;-&quot;#,##0.00;#,##0.00;General">
                  <c:v>17476.12</c:v>
                </c:pt>
                <c:pt idx="9" c:formatCode="#,##0.00;&quot;-&quot;#,##0.00;#,##0.00;General">
                  <c:v>5377.53</c:v>
                </c:pt>
                <c:pt idx="10" c:formatCode="#,##0.00;&quot;-&quot;#,##0.00;#,##0.00;General">
                  <c:v>2874.71</c:v>
                </c:pt>
                <c:pt idx="11" c:formatCode="#,##0.00;&quot;-&quot;#,##0.00;#,##0.00;General">
                  <c:v>1911.71</c:v>
                </c:pt>
                <c:pt idx="12" c:formatCode="#,##0.00;&quot;-&quot;#,##0.00;#,##0.00;General">
                  <c:v>1931.37</c:v>
                </c:pt>
                <c:pt idx="13" c:formatCode="#,##0.00;&quot;-&quot;#,##0.00;#,##0.00;General">
                  <c:v>4007.83</c:v>
                </c:pt>
                <c:pt idx="14" c:formatCode="#,##0.00;&quot;-&quot;#,##0.00;#,##0.00;General">
                  <c:v>6503.94</c:v>
                </c:pt>
                <c:pt idx="15" c:formatCode="#,##0.00;&quot;-&quot;#,##0.00;#,##0.00;General">
                  <c:v>2879.11</c:v>
                </c:pt>
                <c:pt idx="16" c:formatCode="#,##0.00;&quot;-&quot;#,##0.00;#,##0.00;General">
                  <c:v>535.08</c:v>
                </c:pt>
                <c:pt idx="17" c:formatCode="#,##0.00;&quot;-&quot;#,##0.00;#,##0.00;General">
                  <c:v>66.3</c:v>
                </c:pt>
                <c:pt idx="18" c:formatCode="#,##0.00;&quot;-&quot;#,##0.00;#,##0.00;General">
                  <c:v>59.98</c:v>
                </c:pt>
                <c:pt idx="19" c:formatCode="#,##0.00;&quot;-&quot;#,##0.00;#,##0.00;General">
                  <c:v>77.78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'2025年门店销售时段分析'!$B$87</c:f>
              <c:strCache>
                <c:ptCount val="1"/>
                <c:pt idx="0">
                  <c:v>10月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'2025年门店销售时段分析'!$C$76:$V$76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'2025年门店销售时段分析'!$C$87:$V$87</c:f>
              <c:numCache>
                <c:formatCode>#,##0.00_);[Red]\(#,##0.00\)</c:formatCode>
                <c:ptCount val="20"/>
                <c:pt idx="0">
                  <c:v>20.01</c:v>
                </c:pt>
                <c:pt idx="1" c:formatCode="#,##0.00;&quot;-&quot;#,##0.00;#,##0.00;General">
                  <c:v>227.94</c:v>
                </c:pt>
                <c:pt idx="2" c:formatCode="#,##0.00;&quot;-&quot;#,##0.00;#,##0.00;General">
                  <c:v>4489.69</c:v>
                </c:pt>
                <c:pt idx="3" c:formatCode="#,##0.00;&quot;-&quot;#,##0.00;#,##0.00;General">
                  <c:v>13992.18</c:v>
                </c:pt>
                <c:pt idx="4" c:formatCode="#,##0.00;&quot;-&quot;#,##0.00;#,##0.00;General">
                  <c:v>21284.4</c:v>
                </c:pt>
                <c:pt idx="5" c:formatCode="#,##0.00;&quot;-&quot;#,##0.00;#,##0.00;General">
                  <c:v>12879.78</c:v>
                </c:pt>
                <c:pt idx="6" c:formatCode="#,##0.00;&quot;-&quot;#,##0.00;#,##0.00;General">
                  <c:v>7485.87</c:v>
                </c:pt>
                <c:pt idx="7" c:formatCode="#,##0.00;&quot;-&quot;#,##0.00;#,##0.00;General">
                  <c:v>11473.04</c:v>
                </c:pt>
                <c:pt idx="8" c:formatCode="#,##0.00;&quot;-&quot;#,##0.00;#,##0.00;General">
                  <c:v>17346.56</c:v>
                </c:pt>
                <c:pt idx="9" c:formatCode="#,##0.00;&quot;-&quot;#,##0.00;#,##0.00;General">
                  <c:v>6959.81</c:v>
                </c:pt>
                <c:pt idx="10" c:formatCode="#,##0.00;&quot;-&quot;#,##0.00;#,##0.00;General">
                  <c:v>4189.76</c:v>
                </c:pt>
                <c:pt idx="11" c:formatCode="#,##0.00;&quot;-&quot;#,##0.00;#,##0.00;General">
                  <c:v>2750.96</c:v>
                </c:pt>
                <c:pt idx="12" c:formatCode="#,##0.00;&quot;-&quot;#,##0.00;#,##0.00;General">
                  <c:v>2531.97</c:v>
                </c:pt>
                <c:pt idx="13" c:formatCode="#,##0.00;&quot;-&quot;#,##0.00;#,##0.00;General">
                  <c:v>4435.3</c:v>
                </c:pt>
                <c:pt idx="14" c:formatCode="#,##0.00;&quot;-&quot;#,##0.00;#,##0.00;General">
                  <c:v>6063.17</c:v>
                </c:pt>
                <c:pt idx="15" c:formatCode="#,##0.00;&quot;-&quot;#,##0.00;#,##0.00;General">
                  <c:v>2943.61</c:v>
                </c:pt>
                <c:pt idx="16" c:formatCode="#,##0.00;&quot;-&quot;#,##0.00;#,##0.00;General">
                  <c:v>445.91</c:v>
                </c:pt>
                <c:pt idx="17" c:formatCode="#,##0.00;&quot;-&quot;#,##0.00;#,##0.00;General">
                  <c:v>7.03</c:v>
                </c:pt>
                <c:pt idx="18" c:formatCode="#,##0.00;&quot;-&quot;#,##0.00;#,##0.00;General">
                  <c:v>8.13</c:v>
                </c:pt>
                <c:pt idx="19" c:formatCode="#,##0.00;&quot;-&quot;#,##0.00;#,##0.00;General">
                  <c:v>32.77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'2025年门店销售时段分析'!$B$88</c:f>
              <c:strCache>
                <c:ptCount val="1"/>
                <c:pt idx="0">
                  <c:v>11月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'2025年门店销售时段分析'!$C$76:$V$76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'2025年门店销售时段分析'!$C$88:$V$88</c:f>
              <c:numCache>
                <c:formatCode>#,##0.00;"-"#,##0.00;#,##0.00;General</c:formatCode>
                <c:ptCount val="20"/>
                <c:pt idx="0">
                  <c:v>9.63</c:v>
                </c:pt>
                <c:pt idx="1">
                  <c:v>262.61</c:v>
                </c:pt>
                <c:pt idx="2">
                  <c:v>4538.74</c:v>
                </c:pt>
                <c:pt idx="3">
                  <c:v>12980.28</c:v>
                </c:pt>
                <c:pt idx="4">
                  <c:v>19632.57</c:v>
                </c:pt>
                <c:pt idx="5">
                  <c:v>10455.23</c:v>
                </c:pt>
                <c:pt idx="6">
                  <c:v>6495.03</c:v>
                </c:pt>
                <c:pt idx="7">
                  <c:v>13947.04</c:v>
                </c:pt>
                <c:pt idx="8">
                  <c:v>18984.01</c:v>
                </c:pt>
                <c:pt idx="9">
                  <c:v>6561.8</c:v>
                </c:pt>
                <c:pt idx="10">
                  <c:v>2930.11</c:v>
                </c:pt>
                <c:pt idx="11">
                  <c:v>2267.22</c:v>
                </c:pt>
                <c:pt idx="12">
                  <c:v>1804.78</c:v>
                </c:pt>
                <c:pt idx="13">
                  <c:v>3703.11</c:v>
                </c:pt>
                <c:pt idx="14">
                  <c:v>5178.87</c:v>
                </c:pt>
                <c:pt idx="15">
                  <c:v>3169.33</c:v>
                </c:pt>
                <c:pt idx="16">
                  <c:v>41</c:v>
                </c:pt>
                <c:pt idx="17">
                  <c:v>21.32</c:v>
                </c:pt>
                <c:pt idx="18">
                  <c:v>10.33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'2025年门店销售时段分析'!$B$89</c:f>
              <c:strCache>
                <c:ptCount val="1"/>
                <c:pt idx="0">
                  <c:v>12月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'2025年门店销售时段分析'!$C$76:$V$76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'2025年门店销售时段分析'!$C$89:$V$89</c:f>
              <c:numCache>
                <c:formatCode>#,##0.00;"-"#,##0.00;#,##0.00;General</c:formatCode>
                <c:ptCount val="20"/>
                <c:pt idx="1">
                  <c:v>209.01</c:v>
                </c:pt>
                <c:pt idx="2">
                  <c:v>5131.28</c:v>
                </c:pt>
                <c:pt idx="3">
                  <c:v>13826.16</c:v>
                </c:pt>
                <c:pt idx="4">
                  <c:v>22150.88</c:v>
                </c:pt>
                <c:pt idx="5">
                  <c:v>11993.79</c:v>
                </c:pt>
                <c:pt idx="6">
                  <c:v>8284.76</c:v>
                </c:pt>
                <c:pt idx="7">
                  <c:v>20079.82</c:v>
                </c:pt>
                <c:pt idx="8">
                  <c:v>23695</c:v>
                </c:pt>
                <c:pt idx="9">
                  <c:v>7946.73</c:v>
                </c:pt>
                <c:pt idx="10">
                  <c:v>3562.88</c:v>
                </c:pt>
                <c:pt idx="11">
                  <c:v>2476.59</c:v>
                </c:pt>
                <c:pt idx="12">
                  <c:v>2520.75</c:v>
                </c:pt>
                <c:pt idx="13">
                  <c:v>6264.37</c:v>
                </c:pt>
                <c:pt idx="14">
                  <c:v>7118.52</c:v>
                </c:pt>
                <c:pt idx="15">
                  <c:v>3532.27</c:v>
                </c:pt>
                <c:pt idx="16">
                  <c:v>17.5</c:v>
                </c:pt>
                <c:pt idx="18" c:formatCode="#,##0.00_);[Red]\(#,##0.00\)">
                  <c:v>8.61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66638711"/>
        <c:axId val="310760069"/>
      </c:lineChart>
      <c:catAx>
        <c:axId val="866638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0760069"/>
        <c:crosses val="autoZero"/>
        <c:auto val="1"/>
        <c:lblAlgn val="ctr"/>
        <c:lblOffset val="100"/>
        <c:noMultiLvlLbl val="0"/>
      </c:catAx>
      <c:valAx>
        <c:axId val="3107600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6638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工厂店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'2025年门店销售时段分析'!$B$96</c:f>
              <c:strCache>
                <c:ptCount val="1"/>
                <c:pt idx="0">
                  <c:v>时段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'2025年门店销售时段分析'!$C$95:$V$95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'2025年门店销售时段分析'!$C$96:$V$96</c:f>
              <c:numCache>
                <c:formatCode>#,##0.00_);[Red]\(#,##0.00\)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'2025年门店销售时段分析'!$B$97</c:f>
              <c:strCache>
                <c:ptCount val="1"/>
                <c:pt idx="0">
                  <c:v>1月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'2025年门店销售时段分析'!$C$95:$V$95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'2025年门店销售时段分析'!$C$97:$V$97</c:f>
              <c:numCache>
                <c:formatCode>#,##0.00;"-"#,##0.00;#,##0.00;General</c:formatCode>
                <c:ptCount val="20"/>
                <c:pt idx="0">
                  <c:v>34</c:v>
                </c:pt>
                <c:pt idx="1">
                  <c:v>1191</c:v>
                </c:pt>
                <c:pt idx="2">
                  <c:v>7032</c:v>
                </c:pt>
                <c:pt idx="3">
                  <c:v>26296</c:v>
                </c:pt>
                <c:pt idx="4">
                  <c:v>31960</c:v>
                </c:pt>
                <c:pt idx="5">
                  <c:v>17890</c:v>
                </c:pt>
                <c:pt idx="6">
                  <c:v>9637.5</c:v>
                </c:pt>
                <c:pt idx="7">
                  <c:v>11861</c:v>
                </c:pt>
                <c:pt idx="8">
                  <c:v>14368.5</c:v>
                </c:pt>
                <c:pt idx="9">
                  <c:v>4530.5</c:v>
                </c:pt>
                <c:pt idx="10">
                  <c:v>2383</c:v>
                </c:pt>
                <c:pt idx="11">
                  <c:v>1136</c:v>
                </c:pt>
                <c:pt idx="12">
                  <c:v>1194</c:v>
                </c:pt>
                <c:pt idx="13">
                  <c:v>3236.5</c:v>
                </c:pt>
                <c:pt idx="14">
                  <c:v>2952</c:v>
                </c:pt>
                <c:pt idx="15">
                  <c:v>323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'2025年门店销售时段分析'!$B$98</c:f>
              <c:strCache>
                <c:ptCount val="1"/>
                <c:pt idx="0">
                  <c:v>2月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'2025年门店销售时段分析'!$C$95:$V$95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'2025年门店销售时段分析'!$C$98:$V$98</c:f>
              <c:numCache>
                <c:formatCode>#,##0.00;"-"#,##0.00;#,##0.00;General</c:formatCode>
                <c:ptCount val="20"/>
                <c:pt idx="0">
                  <c:v>13</c:v>
                </c:pt>
                <c:pt idx="1">
                  <c:v>1564</c:v>
                </c:pt>
                <c:pt idx="2">
                  <c:v>5455</c:v>
                </c:pt>
                <c:pt idx="3">
                  <c:v>27125.5</c:v>
                </c:pt>
                <c:pt idx="4">
                  <c:v>34002</c:v>
                </c:pt>
                <c:pt idx="5">
                  <c:v>17717.5</c:v>
                </c:pt>
                <c:pt idx="6">
                  <c:v>8674</c:v>
                </c:pt>
                <c:pt idx="7">
                  <c:v>14185.5</c:v>
                </c:pt>
                <c:pt idx="8">
                  <c:v>16093.5</c:v>
                </c:pt>
                <c:pt idx="9">
                  <c:v>5148</c:v>
                </c:pt>
                <c:pt idx="10">
                  <c:v>2285</c:v>
                </c:pt>
                <c:pt idx="11">
                  <c:v>1790.5</c:v>
                </c:pt>
                <c:pt idx="12">
                  <c:v>1487.5</c:v>
                </c:pt>
                <c:pt idx="13">
                  <c:v>4130</c:v>
                </c:pt>
                <c:pt idx="14">
                  <c:v>4844.5</c:v>
                </c:pt>
                <c:pt idx="15">
                  <c:v>1284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'2025年门店销售时段分析'!$B$99</c:f>
              <c:strCache>
                <c:ptCount val="1"/>
                <c:pt idx="0">
                  <c:v>3月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'2025年门店销售时段分析'!$C$95:$V$95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'2025年门店销售时段分析'!$C$99:$V$99</c:f>
              <c:numCache>
                <c:formatCode>#,##0.00;"-"#,##0.00;#,##0.00;General</c:formatCode>
                <c:ptCount val="20"/>
                <c:pt idx="0">
                  <c:v>19</c:v>
                </c:pt>
                <c:pt idx="1">
                  <c:v>1555</c:v>
                </c:pt>
                <c:pt idx="2">
                  <c:v>10921</c:v>
                </c:pt>
                <c:pt idx="3">
                  <c:v>34532</c:v>
                </c:pt>
                <c:pt idx="4">
                  <c:v>35024</c:v>
                </c:pt>
                <c:pt idx="5">
                  <c:v>18929</c:v>
                </c:pt>
                <c:pt idx="6">
                  <c:v>8177</c:v>
                </c:pt>
                <c:pt idx="7">
                  <c:v>14014</c:v>
                </c:pt>
                <c:pt idx="8">
                  <c:v>16483.5</c:v>
                </c:pt>
                <c:pt idx="9">
                  <c:v>5110</c:v>
                </c:pt>
                <c:pt idx="10">
                  <c:v>2791</c:v>
                </c:pt>
                <c:pt idx="11">
                  <c:v>1795</c:v>
                </c:pt>
                <c:pt idx="12">
                  <c:v>1591.5</c:v>
                </c:pt>
                <c:pt idx="13">
                  <c:v>5877.5</c:v>
                </c:pt>
                <c:pt idx="14">
                  <c:v>6969</c:v>
                </c:pt>
                <c:pt idx="15">
                  <c:v>2702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'2025年门店销售时段分析'!$B$100</c:f>
              <c:strCache>
                <c:ptCount val="1"/>
                <c:pt idx="0">
                  <c:v>4月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'2025年门店销售时段分析'!$C$95:$V$95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'2025年门店销售时段分析'!$C$100:$V$100</c:f>
              <c:numCache>
                <c:formatCode>#,##0.00;"-"#,##0.00;#,##0.00;General</c:formatCode>
                <c:ptCount val="20"/>
                <c:pt idx="0">
                  <c:v>88</c:v>
                </c:pt>
                <c:pt idx="1">
                  <c:v>4740</c:v>
                </c:pt>
                <c:pt idx="2">
                  <c:v>17934</c:v>
                </c:pt>
                <c:pt idx="3">
                  <c:v>34307</c:v>
                </c:pt>
                <c:pt idx="4">
                  <c:v>33611</c:v>
                </c:pt>
                <c:pt idx="5">
                  <c:v>15047</c:v>
                </c:pt>
                <c:pt idx="6">
                  <c:v>7794.8</c:v>
                </c:pt>
                <c:pt idx="7">
                  <c:v>12570.1</c:v>
                </c:pt>
                <c:pt idx="8">
                  <c:v>14139.2</c:v>
                </c:pt>
                <c:pt idx="9">
                  <c:v>5139.4</c:v>
                </c:pt>
                <c:pt idx="10">
                  <c:v>2250</c:v>
                </c:pt>
                <c:pt idx="11">
                  <c:v>1260.5</c:v>
                </c:pt>
                <c:pt idx="12">
                  <c:v>2109.5</c:v>
                </c:pt>
                <c:pt idx="13">
                  <c:v>4549.1</c:v>
                </c:pt>
                <c:pt idx="14">
                  <c:v>6199.1</c:v>
                </c:pt>
                <c:pt idx="15">
                  <c:v>1521.5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'2025年门店销售时段分析'!$B$101</c:f>
              <c:strCache>
                <c:ptCount val="1"/>
                <c:pt idx="0">
                  <c:v>5月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'2025年门店销售时段分析'!$C$95:$V$95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'2025年门店销售时段分析'!$C$101:$V$101</c:f>
              <c:numCache>
                <c:formatCode>#,##0.00;"-"#,##0.00;#,##0.00;General</c:formatCode>
                <c:ptCount val="20"/>
                <c:pt idx="0">
                  <c:v>62.5</c:v>
                </c:pt>
                <c:pt idx="1">
                  <c:v>4536.29</c:v>
                </c:pt>
                <c:pt idx="2">
                  <c:v>18671.79</c:v>
                </c:pt>
                <c:pt idx="3">
                  <c:v>33649.57</c:v>
                </c:pt>
                <c:pt idx="4">
                  <c:v>34026.55</c:v>
                </c:pt>
                <c:pt idx="5">
                  <c:v>17083.22</c:v>
                </c:pt>
                <c:pt idx="6">
                  <c:v>7541.4</c:v>
                </c:pt>
                <c:pt idx="7">
                  <c:v>12063.05</c:v>
                </c:pt>
                <c:pt idx="8">
                  <c:v>14495.59</c:v>
                </c:pt>
                <c:pt idx="9">
                  <c:v>4564.6</c:v>
                </c:pt>
                <c:pt idx="10">
                  <c:v>2252.7</c:v>
                </c:pt>
                <c:pt idx="11">
                  <c:v>1724.99</c:v>
                </c:pt>
                <c:pt idx="12">
                  <c:v>1804.3</c:v>
                </c:pt>
                <c:pt idx="13">
                  <c:v>4693.95</c:v>
                </c:pt>
                <c:pt idx="14">
                  <c:v>5499.86</c:v>
                </c:pt>
                <c:pt idx="15">
                  <c:v>1700.43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'2025年门店销售时段分析'!$B$102</c:f>
              <c:strCache>
                <c:ptCount val="1"/>
                <c:pt idx="0">
                  <c:v>6月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'2025年门店销售时段分析'!$C$95:$V$95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'2025年门店销售时段分析'!$C$102:$V$102</c:f>
              <c:numCache>
                <c:formatCode>#,##0.00;"-"#,##0.00;#,##0.00;General</c:formatCode>
                <c:ptCount val="20"/>
                <c:pt idx="0">
                  <c:v>38</c:v>
                </c:pt>
                <c:pt idx="1">
                  <c:v>4318.11</c:v>
                </c:pt>
                <c:pt idx="2">
                  <c:v>16075.25</c:v>
                </c:pt>
                <c:pt idx="3">
                  <c:v>32891.7</c:v>
                </c:pt>
                <c:pt idx="4">
                  <c:v>33436.42</c:v>
                </c:pt>
                <c:pt idx="5">
                  <c:v>16048.25</c:v>
                </c:pt>
                <c:pt idx="6">
                  <c:v>8039.3</c:v>
                </c:pt>
                <c:pt idx="7">
                  <c:v>12337.15</c:v>
                </c:pt>
                <c:pt idx="8">
                  <c:v>12965.07</c:v>
                </c:pt>
                <c:pt idx="9">
                  <c:v>4101.23</c:v>
                </c:pt>
                <c:pt idx="10">
                  <c:v>1953.4</c:v>
                </c:pt>
                <c:pt idx="11">
                  <c:v>2043.7</c:v>
                </c:pt>
                <c:pt idx="12">
                  <c:v>1681.1</c:v>
                </c:pt>
                <c:pt idx="13">
                  <c:v>3346.59</c:v>
                </c:pt>
                <c:pt idx="14">
                  <c:v>5580.01</c:v>
                </c:pt>
                <c:pt idx="15">
                  <c:v>2141.8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'2025年门店销售时段分析'!$B$103</c:f>
              <c:strCache>
                <c:ptCount val="1"/>
                <c:pt idx="0">
                  <c:v>7月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'2025年门店销售时段分析'!$C$95:$V$95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'2025年门店销售时段分析'!$C$103:$V$103</c:f>
              <c:numCache>
                <c:formatCode>#,##0.00;"-"#,##0.00;#,##0.00;General</c:formatCode>
                <c:ptCount val="20"/>
                <c:pt idx="0">
                  <c:v>64</c:v>
                </c:pt>
                <c:pt idx="1">
                  <c:v>6462.66</c:v>
                </c:pt>
                <c:pt idx="2">
                  <c:v>25979.67</c:v>
                </c:pt>
                <c:pt idx="3">
                  <c:v>40102.35</c:v>
                </c:pt>
                <c:pt idx="4">
                  <c:v>39679.93</c:v>
                </c:pt>
                <c:pt idx="5">
                  <c:v>20920.1</c:v>
                </c:pt>
                <c:pt idx="6">
                  <c:v>8964.41</c:v>
                </c:pt>
                <c:pt idx="7">
                  <c:v>14981.34</c:v>
                </c:pt>
                <c:pt idx="8">
                  <c:v>12229.38</c:v>
                </c:pt>
                <c:pt idx="9">
                  <c:v>4740.53</c:v>
                </c:pt>
                <c:pt idx="10">
                  <c:v>2384.9</c:v>
                </c:pt>
                <c:pt idx="11">
                  <c:v>1492.8</c:v>
                </c:pt>
                <c:pt idx="12">
                  <c:v>1534.5</c:v>
                </c:pt>
                <c:pt idx="13">
                  <c:v>5056.37</c:v>
                </c:pt>
                <c:pt idx="14">
                  <c:v>7475.47</c:v>
                </c:pt>
                <c:pt idx="15">
                  <c:v>2044.52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'2025年门店销售时段分析'!$B$104</c:f>
              <c:strCache>
                <c:ptCount val="1"/>
                <c:pt idx="0">
                  <c:v>8月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'2025年门店销售时段分析'!$C$95:$V$95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'2025年门店销售时段分析'!$C$104:$V$104</c:f>
              <c:numCache>
                <c:formatCode>#,##0.00;"-"#,##0.00;#,##0.00;General</c:formatCode>
                <c:ptCount val="20"/>
                <c:pt idx="0">
                  <c:v>126</c:v>
                </c:pt>
                <c:pt idx="1">
                  <c:v>3607.29</c:v>
                </c:pt>
                <c:pt idx="2">
                  <c:v>25036.88</c:v>
                </c:pt>
                <c:pt idx="3">
                  <c:v>38496.98</c:v>
                </c:pt>
                <c:pt idx="4">
                  <c:v>38014.18</c:v>
                </c:pt>
                <c:pt idx="5">
                  <c:v>21475.48</c:v>
                </c:pt>
                <c:pt idx="6">
                  <c:v>10140.33</c:v>
                </c:pt>
                <c:pt idx="7">
                  <c:v>13547.61</c:v>
                </c:pt>
                <c:pt idx="8">
                  <c:v>13523.59</c:v>
                </c:pt>
                <c:pt idx="9">
                  <c:v>4959.5</c:v>
                </c:pt>
                <c:pt idx="10">
                  <c:v>2684.4</c:v>
                </c:pt>
                <c:pt idx="11">
                  <c:v>1176.4</c:v>
                </c:pt>
                <c:pt idx="12">
                  <c:v>2436.1</c:v>
                </c:pt>
                <c:pt idx="13">
                  <c:v>4716.2</c:v>
                </c:pt>
                <c:pt idx="14">
                  <c:v>8456.5</c:v>
                </c:pt>
                <c:pt idx="15">
                  <c:v>1676.8</c:v>
                </c:pt>
                <c:pt idx="16">
                  <c:v>601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'2025年门店销售时段分析'!$B$105</c:f>
              <c:strCache>
                <c:ptCount val="1"/>
                <c:pt idx="0">
                  <c:v>9月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'2025年门店销售时段分析'!$C$95:$V$95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'2025年门店销售时段分析'!$C$105:$V$105</c:f>
              <c:numCache>
                <c:formatCode>#,##0.00_);[Red]\(#,##0.00\)</c:formatCode>
                <c:ptCount val="20"/>
                <c:pt idx="0">
                  <c:v>47.11</c:v>
                </c:pt>
                <c:pt idx="1" c:formatCode="#,##0.00;&quot;-&quot;#,##0.00;#,##0.00;General">
                  <c:v>2162.03</c:v>
                </c:pt>
                <c:pt idx="2" c:formatCode="#,##0.00;&quot;-&quot;#,##0.00;#,##0.00;General">
                  <c:v>23739.96</c:v>
                </c:pt>
                <c:pt idx="3" c:formatCode="#,##0.00;&quot;-&quot;#,##0.00;#,##0.00;General">
                  <c:v>38681.89</c:v>
                </c:pt>
                <c:pt idx="4" c:formatCode="#,##0.00;&quot;-&quot;#,##0.00;#,##0.00;General">
                  <c:v>34924.56</c:v>
                </c:pt>
                <c:pt idx="5" c:formatCode="#,##0.00;&quot;-&quot;#,##0.00;#,##0.00;General">
                  <c:v>19391.7</c:v>
                </c:pt>
                <c:pt idx="6" c:formatCode="#,##0.00;&quot;-&quot;#,##0.00;#,##0.00;General">
                  <c:v>10281.09</c:v>
                </c:pt>
                <c:pt idx="7" c:formatCode="#,##0.00;&quot;-&quot;#,##0.00;#,##0.00;General">
                  <c:v>24951.46</c:v>
                </c:pt>
                <c:pt idx="8" c:formatCode="#,##0.00;&quot;-&quot;#,##0.00;#,##0.00;General">
                  <c:v>22284.03</c:v>
                </c:pt>
                <c:pt idx="9" c:formatCode="#,##0.00;&quot;-&quot;#,##0.00;#,##0.00;General">
                  <c:v>7370.5</c:v>
                </c:pt>
                <c:pt idx="10" c:formatCode="#,##0.00;&quot;-&quot;#,##0.00;#,##0.00;General">
                  <c:v>3671.06</c:v>
                </c:pt>
                <c:pt idx="11" c:formatCode="#,##0.00;&quot;-&quot;#,##0.00;#,##0.00;General">
                  <c:v>2291.4</c:v>
                </c:pt>
                <c:pt idx="12" c:formatCode="#,##0.00;&quot;-&quot;#,##0.00;#,##0.00;General">
                  <c:v>3121.52</c:v>
                </c:pt>
                <c:pt idx="13" c:formatCode="#,##0.00;&quot;-&quot;#,##0.00;#,##0.00;General">
                  <c:v>10764.61</c:v>
                </c:pt>
                <c:pt idx="14" c:formatCode="#,##0.00;&quot;-&quot;#,##0.00;#,##0.00;General">
                  <c:v>11816.01</c:v>
                </c:pt>
                <c:pt idx="15" c:formatCode="#,##0.00;&quot;-&quot;#,##0.00;#,##0.00;General">
                  <c:v>5753.84</c:v>
                </c:pt>
                <c:pt idx="16" c:formatCode="#,##0.00;&quot;-&quot;#,##0.00;#,##0.00;General">
                  <c:v>688.31</c:v>
                </c:pt>
                <c:pt idx="17" c:formatCode="#,##0.00;&quot;-&quot;#,##0.00;#,##0.00;General">
                  <c:v>35.9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'2025年门店销售时段分析'!$B$106</c:f>
              <c:strCache>
                <c:ptCount val="1"/>
                <c:pt idx="0">
                  <c:v>10月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'2025年门店销售时段分析'!$C$95:$V$95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'2025年门店销售时段分析'!$C$106:$V$106</c:f>
              <c:numCache>
                <c:formatCode>#,##0.00;"-"#,##0.00;#,##0.00;General</c:formatCode>
                <c:ptCount val="20"/>
                <c:pt idx="0">
                  <c:v>55.65</c:v>
                </c:pt>
                <c:pt idx="1">
                  <c:v>1859.93</c:v>
                </c:pt>
                <c:pt idx="2">
                  <c:v>14402.68</c:v>
                </c:pt>
                <c:pt idx="3">
                  <c:v>35798.09</c:v>
                </c:pt>
                <c:pt idx="4">
                  <c:v>36727.4</c:v>
                </c:pt>
                <c:pt idx="5">
                  <c:v>21381</c:v>
                </c:pt>
                <c:pt idx="6">
                  <c:v>12737.38</c:v>
                </c:pt>
                <c:pt idx="7">
                  <c:v>26060.95</c:v>
                </c:pt>
                <c:pt idx="8">
                  <c:v>22176.17</c:v>
                </c:pt>
                <c:pt idx="9">
                  <c:v>7244.61</c:v>
                </c:pt>
                <c:pt idx="10">
                  <c:v>4567.25</c:v>
                </c:pt>
                <c:pt idx="11">
                  <c:v>2676.61</c:v>
                </c:pt>
                <c:pt idx="12">
                  <c:v>2651.31</c:v>
                </c:pt>
                <c:pt idx="13">
                  <c:v>9310.46</c:v>
                </c:pt>
                <c:pt idx="14">
                  <c:v>11897.38</c:v>
                </c:pt>
                <c:pt idx="15">
                  <c:v>4486.39</c:v>
                </c:pt>
                <c:pt idx="16">
                  <c:v>265.05</c:v>
                </c:pt>
                <c:pt idx="19">
                  <c:v>18.23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'2025年门店销售时段分析'!$B$107</c:f>
              <c:strCache>
                <c:ptCount val="1"/>
                <c:pt idx="0">
                  <c:v>11月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'2025年门店销售时段分析'!$C$95:$V$95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'2025年门店销售时段分析'!$C$107:$V$107</c:f>
              <c:numCache>
                <c:formatCode>#,##0.00;"-"#,##0.00;#,##0.00;General</c:formatCode>
                <c:ptCount val="20"/>
                <c:pt idx="0">
                  <c:v>44.29</c:v>
                </c:pt>
                <c:pt idx="1">
                  <c:v>1282.09</c:v>
                </c:pt>
                <c:pt idx="2">
                  <c:v>10410.07</c:v>
                </c:pt>
                <c:pt idx="3">
                  <c:v>34214.71</c:v>
                </c:pt>
                <c:pt idx="4">
                  <c:v>32433.45</c:v>
                </c:pt>
                <c:pt idx="5">
                  <c:v>18556.89</c:v>
                </c:pt>
                <c:pt idx="6">
                  <c:v>9392.84</c:v>
                </c:pt>
                <c:pt idx="7">
                  <c:v>24927.28</c:v>
                </c:pt>
                <c:pt idx="8">
                  <c:v>22180.27</c:v>
                </c:pt>
                <c:pt idx="9">
                  <c:v>8230.16</c:v>
                </c:pt>
                <c:pt idx="10">
                  <c:v>3736.24</c:v>
                </c:pt>
                <c:pt idx="11">
                  <c:v>2720.14</c:v>
                </c:pt>
                <c:pt idx="12">
                  <c:v>3163.72</c:v>
                </c:pt>
                <c:pt idx="13">
                  <c:v>10090.44</c:v>
                </c:pt>
                <c:pt idx="14">
                  <c:v>11022.67</c:v>
                </c:pt>
                <c:pt idx="15">
                  <c:v>5183.61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'2025年门店销售时段分析'!$B$108</c:f>
              <c:strCache>
                <c:ptCount val="1"/>
                <c:pt idx="0">
                  <c:v>12月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'2025年门店销售时段分析'!$C$95:$V$95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'2025年门店销售时段分析'!$C$108:$V$108</c:f>
              <c:numCache>
                <c:formatCode>#,##0.00;"-"#,##0.00;#,##0.00;General</c:formatCode>
                <c:ptCount val="20"/>
                <c:pt idx="0">
                  <c:v>74.89</c:v>
                </c:pt>
                <c:pt idx="1">
                  <c:v>1900.58</c:v>
                </c:pt>
                <c:pt idx="2">
                  <c:v>9921.05</c:v>
                </c:pt>
                <c:pt idx="3">
                  <c:v>37481.27</c:v>
                </c:pt>
                <c:pt idx="4">
                  <c:v>37743.44</c:v>
                </c:pt>
                <c:pt idx="5">
                  <c:v>20323.9</c:v>
                </c:pt>
                <c:pt idx="6">
                  <c:v>12868.89</c:v>
                </c:pt>
                <c:pt idx="7">
                  <c:v>33473.59</c:v>
                </c:pt>
                <c:pt idx="8">
                  <c:v>30574.82</c:v>
                </c:pt>
                <c:pt idx="9">
                  <c:v>11250.02</c:v>
                </c:pt>
                <c:pt idx="10">
                  <c:v>5886.86</c:v>
                </c:pt>
                <c:pt idx="11">
                  <c:v>4143.48</c:v>
                </c:pt>
                <c:pt idx="12">
                  <c:v>5697.44</c:v>
                </c:pt>
                <c:pt idx="13">
                  <c:v>14241.15</c:v>
                </c:pt>
                <c:pt idx="14">
                  <c:v>15360.71</c:v>
                </c:pt>
                <c:pt idx="15">
                  <c:v>7393.83</c:v>
                </c:pt>
                <c:pt idx="16">
                  <c:v>37.5</c:v>
                </c:pt>
                <c:pt idx="17">
                  <c:v>8.23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16961359"/>
        <c:axId val="888895296"/>
      </c:lineChart>
      <c:catAx>
        <c:axId val="416961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895296"/>
        <c:crosses val="autoZero"/>
        <c:auto val="1"/>
        <c:lblAlgn val="ctr"/>
        <c:lblOffset val="100"/>
        <c:noMultiLvlLbl val="0"/>
      </c:catAx>
      <c:valAx>
        <c:axId val="88889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96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新华路店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'2025年门店销售时段分析'!$B$115</c:f>
              <c:strCache>
                <c:ptCount val="1"/>
                <c:pt idx="0">
                  <c:v>时段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'2025年门店销售时段分析'!$C$114:$V$114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'2025年门店销售时段分析'!$C$115:$V$115</c:f>
              <c:numCache>
                <c:formatCode>#,##0.00_);[Red]\(#,##0.00\)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'2025年门店销售时段分析'!$B$116</c:f>
              <c:strCache>
                <c:ptCount val="1"/>
                <c:pt idx="0">
                  <c:v>1月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'2025年门店销售时段分析'!$C$114:$V$114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'2025年门店销售时段分析'!$C$116:$V$116</c:f>
              <c:numCache>
                <c:formatCode>#,##0.00;"-"#,##0.00;#,##0.00;General</c:formatCode>
                <c:ptCount val="20"/>
                <c:pt idx="1">
                  <c:v>232.5</c:v>
                </c:pt>
                <c:pt idx="2">
                  <c:v>7749.49</c:v>
                </c:pt>
                <c:pt idx="3">
                  <c:v>25752.03</c:v>
                </c:pt>
                <c:pt idx="4">
                  <c:v>36198.83</c:v>
                </c:pt>
                <c:pt idx="5">
                  <c:v>27218.57</c:v>
                </c:pt>
                <c:pt idx="6">
                  <c:v>16948.74</c:v>
                </c:pt>
                <c:pt idx="7">
                  <c:v>17752.48</c:v>
                </c:pt>
                <c:pt idx="8">
                  <c:v>22245.09</c:v>
                </c:pt>
                <c:pt idx="9">
                  <c:v>10478.15</c:v>
                </c:pt>
                <c:pt idx="10">
                  <c:v>5740.33</c:v>
                </c:pt>
                <c:pt idx="11">
                  <c:v>6013.57</c:v>
                </c:pt>
                <c:pt idx="12">
                  <c:v>4931.63</c:v>
                </c:pt>
                <c:pt idx="13">
                  <c:v>6478.61</c:v>
                </c:pt>
                <c:pt idx="14">
                  <c:v>9570.35</c:v>
                </c:pt>
                <c:pt idx="15">
                  <c:v>5620.78</c:v>
                </c:pt>
                <c:pt idx="16">
                  <c:v>1495.75</c:v>
                </c:pt>
                <c:pt idx="17">
                  <c:v>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'2025年门店销售时段分析'!$B$117</c:f>
              <c:strCache>
                <c:ptCount val="1"/>
                <c:pt idx="0">
                  <c:v>2月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'2025年门店销售时段分析'!$C$114:$V$114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'2025年门店销售时段分析'!$C$117:$V$117</c:f>
              <c:numCache>
                <c:formatCode>#,##0.00;"-"#,##0.00;#,##0.00;General</c:formatCode>
                <c:ptCount val="20"/>
                <c:pt idx="1">
                  <c:v>174.5</c:v>
                </c:pt>
                <c:pt idx="2">
                  <c:v>8372.68</c:v>
                </c:pt>
                <c:pt idx="3">
                  <c:v>27107.36</c:v>
                </c:pt>
                <c:pt idx="4">
                  <c:v>34164.55</c:v>
                </c:pt>
                <c:pt idx="5">
                  <c:v>23001.09</c:v>
                </c:pt>
                <c:pt idx="6">
                  <c:v>15573.42</c:v>
                </c:pt>
                <c:pt idx="7">
                  <c:v>19439.72</c:v>
                </c:pt>
                <c:pt idx="8">
                  <c:v>23069.25</c:v>
                </c:pt>
                <c:pt idx="9">
                  <c:v>9880.21</c:v>
                </c:pt>
                <c:pt idx="10">
                  <c:v>7556.95</c:v>
                </c:pt>
                <c:pt idx="11">
                  <c:v>3146.47</c:v>
                </c:pt>
                <c:pt idx="12">
                  <c:v>2971.52</c:v>
                </c:pt>
                <c:pt idx="13">
                  <c:v>7950.47</c:v>
                </c:pt>
                <c:pt idx="14">
                  <c:v>9085.55</c:v>
                </c:pt>
                <c:pt idx="15">
                  <c:v>5460.02</c:v>
                </c:pt>
                <c:pt idx="16">
                  <c:v>1963.95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'2025年门店销售时段分析'!$B$118</c:f>
              <c:strCache>
                <c:ptCount val="1"/>
                <c:pt idx="0">
                  <c:v>3月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'2025年门店销售时段分析'!$C$114:$V$114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'2025年门店销售时段分析'!$C$118:$V$118</c:f>
              <c:numCache>
                <c:formatCode>#,##0.00;"-"#,##0.00;#,##0.00;General</c:formatCode>
                <c:ptCount val="20"/>
                <c:pt idx="1">
                  <c:v>183</c:v>
                </c:pt>
                <c:pt idx="2">
                  <c:v>11445.48</c:v>
                </c:pt>
                <c:pt idx="3">
                  <c:v>29136.53</c:v>
                </c:pt>
                <c:pt idx="4">
                  <c:v>36918.71</c:v>
                </c:pt>
                <c:pt idx="5">
                  <c:v>22565.97</c:v>
                </c:pt>
                <c:pt idx="6">
                  <c:v>12712.31</c:v>
                </c:pt>
                <c:pt idx="7">
                  <c:v>17583.5</c:v>
                </c:pt>
                <c:pt idx="8">
                  <c:v>22351.02</c:v>
                </c:pt>
                <c:pt idx="9">
                  <c:v>10484.57</c:v>
                </c:pt>
                <c:pt idx="10">
                  <c:v>4781.69</c:v>
                </c:pt>
                <c:pt idx="11">
                  <c:v>3125.34</c:v>
                </c:pt>
                <c:pt idx="12">
                  <c:v>3245.19</c:v>
                </c:pt>
                <c:pt idx="13">
                  <c:v>9073.38</c:v>
                </c:pt>
                <c:pt idx="14">
                  <c:v>9072.18</c:v>
                </c:pt>
                <c:pt idx="15">
                  <c:v>6129.7</c:v>
                </c:pt>
                <c:pt idx="16">
                  <c:v>1854.41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'2025年门店销售时段分析'!$B$119</c:f>
              <c:strCache>
                <c:ptCount val="1"/>
                <c:pt idx="0">
                  <c:v>4月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'2025年门店销售时段分析'!$C$114:$V$114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'2025年门店销售时段分析'!$C$119:$V$119</c:f>
              <c:numCache>
                <c:formatCode>#,##0.00;"-"#,##0.00;#,##0.00;General</c:formatCode>
                <c:ptCount val="20"/>
                <c:pt idx="1">
                  <c:v>204.13</c:v>
                </c:pt>
                <c:pt idx="2">
                  <c:v>14547.93</c:v>
                </c:pt>
                <c:pt idx="3">
                  <c:v>35340.62</c:v>
                </c:pt>
                <c:pt idx="4">
                  <c:v>38846.62</c:v>
                </c:pt>
                <c:pt idx="5">
                  <c:v>23962.89</c:v>
                </c:pt>
                <c:pt idx="6">
                  <c:v>12682.23</c:v>
                </c:pt>
                <c:pt idx="7">
                  <c:v>21495.11</c:v>
                </c:pt>
                <c:pt idx="8">
                  <c:v>25300.29</c:v>
                </c:pt>
                <c:pt idx="9">
                  <c:v>10503.84</c:v>
                </c:pt>
                <c:pt idx="10">
                  <c:v>4584.09</c:v>
                </c:pt>
                <c:pt idx="11">
                  <c:v>3185.17</c:v>
                </c:pt>
                <c:pt idx="12">
                  <c:v>3393.9</c:v>
                </c:pt>
                <c:pt idx="13">
                  <c:v>8453.41</c:v>
                </c:pt>
                <c:pt idx="14">
                  <c:v>11545.63</c:v>
                </c:pt>
                <c:pt idx="15">
                  <c:v>7439.58</c:v>
                </c:pt>
                <c:pt idx="16">
                  <c:v>1930.92</c:v>
                </c:pt>
                <c:pt idx="17">
                  <c:v>13.98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'2025年门店销售时段分析'!$B$120</c:f>
              <c:strCache>
                <c:ptCount val="1"/>
                <c:pt idx="0">
                  <c:v>5月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'2025年门店销售时段分析'!$C$114:$V$114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'2025年门店销售时段分析'!$C$120:$V$120</c:f>
              <c:numCache>
                <c:formatCode>#,##0.00;"-"#,##0.00;#,##0.00;General</c:formatCode>
                <c:ptCount val="20"/>
                <c:pt idx="1">
                  <c:v>256.69</c:v>
                </c:pt>
                <c:pt idx="2">
                  <c:v>15627.7</c:v>
                </c:pt>
                <c:pt idx="3">
                  <c:v>37223.58</c:v>
                </c:pt>
                <c:pt idx="4">
                  <c:v>37940.21</c:v>
                </c:pt>
                <c:pt idx="5">
                  <c:v>26290.93</c:v>
                </c:pt>
                <c:pt idx="6">
                  <c:v>14972.85</c:v>
                </c:pt>
                <c:pt idx="7">
                  <c:v>20139.58</c:v>
                </c:pt>
                <c:pt idx="8">
                  <c:v>24008.71</c:v>
                </c:pt>
                <c:pt idx="9">
                  <c:v>11519.28</c:v>
                </c:pt>
                <c:pt idx="10">
                  <c:v>6467.18</c:v>
                </c:pt>
                <c:pt idx="11">
                  <c:v>2828.45</c:v>
                </c:pt>
                <c:pt idx="12">
                  <c:v>3844.19</c:v>
                </c:pt>
                <c:pt idx="13">
                  <c:v>9804.53</c:v>
                </c:pt>
                <c:pt idx="14">
                  <c:v>11297.07</c:v>
                </c:pt>
                <c:pt idx="15">
                  <c:v>7398.75</c:v>
                </c:pt>
                <c:pt idx="16">
                  <c:v>2032.11</c:v>
                </c:pt>
                <c:pt idx="17">
                  <c:v>18.19</c:v>
                </c:pt>
                <c:pt idx="18">
                  <c:v>41.14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'2025年门店销售时段分析'!$B$121</c:f>
              <c:strCache>
                <c:ptCount val="1"/>
                <c:pt idx="0">
                  <c:v>6月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'2025年门店销售时段分析'!$C$114:$V$114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'2025年门店销售时段分析'!$C$121:$V$121</c:f>
              <c:numCache>
                <c:formatCode>#,##0.00;"-"#,##0.00;#,##0.00;General</c:formatCode>
                <c:ptCount val="20"/>
                <c:pt idx="0">
                  <c:v>26.54</c:v>
                </c:pt>
                <c:pt idx="1">
                  <c:v>387.07</c:v>
                </c:pt>
                <c:pt idx="2">
                  <c:v>15824.74</c:v>
                </c:pt>
                <c:pt idx="3">
                  <c:v>35240.11</c:v>
                </c:pt>
                <c:pt idx="4">
                  <c:v>40373.87</c:v>
                </c:pt>
                <c:pt idx="5">
                  <c:v>27040.68</c:v>
                </c:pt>
                <c:pt idx="6">
                  <c:v>17078.33</c:v>
                </c:pt>
                <c:pt idx="7">
                  <c:v>22569.41</c:v>
                </c:pt>
                <c:pt idx="8">
                  <c:v>24007.57</c:v>
                </c:pt>
                <c:pt idx="9">
                  <c:v>11989.6</c:v>
                </c:pt>
                <c:pt idx="10">
                  <c:v>5762.93</c:v>
                </c:pt>
                <c:pt idx="11">
                  <c:v>3296.91</c:v>
                </c:pt>
                <c:pt idx="12">
                  <c:v>4123.34</c:v>
                </c:pt>
                <c:pt idx="13">
                  <c:v>8585.93</c:v>
                </c:pt>
                <c:pt idx="14">
                  <c:v>12272.45</c:v>
                </c:pt>
                <c:pt idx="15">
                  <c:v>8309.18</c:v>
                </c:pt>
                <c:pt idx="16">
                  <c:v>2031.55</c:v>
                </c:pt>
                <c:pt idx="17">
                  <c:v>53.65</c:v>
                </c:pt>
                <c:pt idx="18">
                  <c:v>36.79</c:v>
                </c:pt>
                <c:pt idx="19">
                  <c:v>8.93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'2025年门店销售时段分析'!$B$122</c:f>
              <c:strCache>
                <c:ptCount val="1"/>
                <c:pt idx="0">
                  <c:v>7月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'2025年门店销售时段分析'!$C$114:$V$114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'2025年门店销售时段分析'!$C$122:$V$122</c:f>
              <c:numCache>
                <c:formatCode>#,##0.00;"-"#,##0.00;#,##0.00;General</c:formatCode>
                <c:ptCount val="20"/>
                <c:pt idx="0">
                  <c:v>465.84</c:v>
                </c:pt>
                <c:pt idx="1">
                  <c:v>1726.92</c:v>
                </c:pt>
                <c:pt idx="2">
                  <c:v>18038.75</c:v>
                </c:pt>
                <c:pt idx="3">
                  <c:v>39332.95</c:v>
                </c:pt>
                <c:pt idx="4">
                  <c:v>46385.17</c:v>
                </c:pt>
                <c:pt idx="5">
                  <c:v>31098.19</c:v>
                </c:pt>
                <c:pt idx="6">
                  <c:v>18367.5</c:v>
                </c:pt>
                <c:pt idx="7">
                  <c:v>22457.74</c:v>
                </c:pt>
                <c:pt idx="8">
                  <c:v>24070.95</c:v>
                </c:pt>
                <c:pt idx="9">
                  <c:v>11568.39</c:v>
                </c:pt>
                <c:pt idx="10">
                  <c:v>5206.9</c:v>
                </c:pt>
                <c:pt idx="11">
                  <c:v>3539.3</c:v>
                </c:pt>
                <c:pt idx="12">
                  <c:v>4197.69</c:v>
                </c:pt>
                <c:pt idx="13">
                  <c:v>9408.8</c:v>
                </c:pt>
                <c:pt idx="14">
                  <c:v>12170.91</c:v>
                </c:pt>
                <c:pt idx="15">
                  <c:v>9873.39</c:v>
                </c:pt>
                <c:pt idx="16">
                  <c:v>2926.42</c:v>
                </c:pt>
                <c:pt idx="17">
                  <c:v>413.61</c:v>
                </c:pt>
                <c:pt idx="18">
                  <c:v>700.31</c:v>
                </c:pt>
                <c:pt idx="19">
                  <c:v>289.18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'2025年门店销售时段分析'!$B$123</c:f>
              <c:strCache>
                <c:ptCount val="1"/>
                <c:pt idx="0">
                  <c:v>8月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'2025年门店销售时段分析'!$C$114:$V$114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'2025年门店销售时段分析'!$C$123:$V$123</c:f>
              <c:numCache>
                <c:formatCode>#,##0.00;"-"#,##0.00;#,##0.00;General</c:formatCode>
                <c:ptCount val="20"/>
                <c:pt idx="0">
                  <c:v>258.44</c:v>
                </c:pt>
                <c:pt idx="1">
                  <c:v>1355.22</c:v>
                </c:pt>
                <c:pt idx="2">
                  <c:v>13958.4</c:v>
                </c:pt>
                <c:pt idx="3">
                  <c:v>33898.55</c:v>
                </c:pt>
                <c:pt idx="4">
                  <c:v>44580.1</c:v>
                </c:pt>
                <c:pt idx="5">
                  <c:v>31981.66</c:v>
                </c:pt>
                <c:pt idx="6">
                  <c:v>20364.16</c:v>
                </c:pt>
                <c:pt idx="7">
                  <c:v>25238.93</c:v>
                </c:pt>
                <c:pt idx="8">
                  <c:v>23292.44</c:v>
                </c:pt>
                <c:pt idx="9">
                  <c:v>10896.06</c:v>
                </c:pt>
                <c:pt idx="10">
                  <c:v>6132.9</c:v>
                </c:pt>
                <c:pt idx="11">
                  <c:v>3164.98</c:v>
                </c:pt>
                <c:pt idx="12">
                  <c:v>3285.38</c:v>
                </c:pt>
                <c:pt idx="13">
                  <c:v>8210.18</c:v>
                </c:pt>
                <c:pt idx="14">
                  <c:v>10889.04</c:v>
                </c:pt>
                <c:pt idx="15">
                  <c:v>7768.57</c:v>
                </c:pt>
                <c:pt idx="16">
                  <c:v>1608.79</c:v>
                </c:pt>
                <c:pt idx="17">
                  <c:v>201.88</c:v>
                </c:pt>
                <c:pt idx="18">
                  <c:v>245.27</c:v>
                </c:pt>
                <c:pt idx="19">
                  <c:v>78.82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'2025年门店销售时段分析'!$B$124</c:f>
              <c:strCache>
                <c:ptCount val="1"/>
                <c:pt idx="0">
                  <c:v>9月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'2025年门店销售时段分析'!$C$114:$V$114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'2025年门店销售时段分析'!$C$124:$V$124</c:f>
              <c:numCache>
                <c:formatCode>#,##0.00_);[Red]\(#,##0.00\)</c:formatCode>
                <c:ptCount val="20"/>
                <c:pt idx="0">
                  <c:v>57.35</c:v>
                </c:pt>
                <c:pt idx="1" c:formatCode="#,##0.00;&quot;-&quot;#,##0.00;#,##0.00;General">
                  <c:v>931.78</c:v>
                </c:pt>
                <c:pt idx="2" c:formatCode="#,##0.00;&quot;-&quot;#,##0.00;#,##0.00;General">
                  <c:v>16569.83</c:v>
                </c:pt>
                <c:pt idx="3" c:formatCode="#,##0.00;&quot;-&quot;#,##0.00;#,##0.00;General">
                  <c:v>32493.3</c:v>
                </c:pt>
                <c:pt idx="4" c:formatCode="#,##0.00;&quot;-&quot;#,##0.00;#,##0.00;General">
                  <c:v>37150.31</c:v>
                </c:pt>
                <c:pt idx="5" c:formatCode="#,##0.00;&quot;-&quot;#,##0.00;#,##0.00;General">
                  <c:v>23045.52</c:v>
                </c:pt>
                <c:pt idx="6" c:formatCode="#,##0.00;&quot;-&quot;#,##0.00;#,##0.00;General">
                  <c:v>13602.42</c:v>
                </c:pt>
                <c:pt idx="7" c:formatCode="#,##0.00;&quot;-&quot;#,##0.00;#,##0.00;General">
                  <c:v>22949.51</c:v>
                </c:pt>
                <c:pt idx="8" c:formatCode="#,##0.00;&quot;-&quot;#,##0.00;#,##0.00;General">
                  <c:v>24050.46</c:v>
                </c:pt>
                <c:pt idx="9" c:formatCode="#,##0.00;&quot;-&quot;#,##0.00;#,##0.00;General">
                  <c:v>10618.65</c:v>
                </c:pt>
                <c:pt idx="10" c:formatCode="#,##0.00;&quot;-&quot;#,##0.00;#,##0.00;General">
                  <c:v>5468.76</c:v>
                </c:pt>
                <c:pt idx="11" c:formatCode="#,##0.00;&quot;-&quot;#,##0.00;#,##0.00;General">
                  <c:v>3360.97</c:v>
                </c:pt>
                <c:pt idx="12" c:formatCode="#,##0.00;&quot;-&quot;#,##0.00;#,##0.00;General">
                  <c:v>3211.49</c:v>
                </c:pt>
                <c:pt idx="13" c:formatCode="#,##0.00;&quot;-&quot;#,##0.00;#,##0.00;General">
                  <c:v>8980.12</c:v>
                </c:pt>
                <c:pt idx="14" c:formatCode="#,##0.00;&quot;-&quot;#,##0.00;#,##0.00;General">
                  <c:v>11853.13</c:v>
                </c:pt>
                <c:pt idx="15" c:formatCode="#,##0.00;&quot;-&quot;#,##0.00;#,##0.00;General">
                  <c:v>7017.33</c:v>
                </c:pt>
                <c:pt idx="16" c:formatCode="#,##0.00;&quot;-&quot;#,##0.00;#,##0.00;General">
                  <c:v>2350.17</c:v>
                </c:pt>
                <c:pt idx="17" c:formatCode="#,##0.00;&quot;-&quot;#,##0.00;#,##0.00;General">
                  <c:v>124.44</c:v>
                </c:pt>
                <c:pt idx="18" c:formatCode="#,##0.00;&quot;-&quot;#,##0.00;#,##0.00;General">
                  <c:v>101.21</c:v>
                </c:pt>
                <c:pt idx="19" c:formatCode="#,##0.00;&quot;-&quot;#,##0.00;#,##0.00;General">
                  <c:v>124.25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'2025年门店销售时段分析'!$B$125</c:f>
              <c:strCache>
                <c:ptCount val="1"/>
                <c:pt idx="0">
                  <c:v>10月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'2025年门店销售时段分析'!$C$114:$V$114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'2025年门店销售时段分析'!$C$125:$V$125</c:f>
              <c:numCache>
                <c:formatCode>#,##0.00_);[Red]\(#,##0.00\)</c:formatCode>
                <c:ptCount val="20"/>
                <c:pt idx="0">
                  <c:v>55.31</c:v>
                </c:pt>
                <c:pt idx="1" c:formatCode="#,##0.00;&quot;-&quot;#,##0.00;#,##0.00;General">
                  <c:v>513.55</c:v>
                </c:pt>
                <c:pt idx="2" c:formatCode="#,##0.00;&quot;-&quot;#,##0.00;#,##0.00;General">
                  <c:v>14590.38</c:v>
                </c:pt>
                <c:pt idx="3" c:formatCode="#,##0.00;&quot;-&quot;#,##0.00;#,##0.00;General">
                  <c:v>33059.05</c:v>
                </c:pt>
                <c:pt idx="4" c:formatCode="#,##0.00;&quot;-&quot;#,##0.00;#,##0.00;General">
                  <c:v>41832.7</c:v>
                </c:pt>
                <c:pt idx="5" c:formatCode="#,##0.00;&quot;-&quot;#,##0.00;#,##0.00;General">
                  <c:v>27011.66</c:v>
                </c:pt>
                <c:pt idx="6" c:formatCode="#,##0.00;&quot;-&quot;#,##0.00;#,##0.00;General">
                  <c:v>16403.05</c:v>
                </c:pt>
                <c:pt idx="7" c:formatCode="#,##0.00;&quot;-&quot;#,##0.00;#,##0.00;General">
                  <c:v>27542.98</c:v>
                </c:pt>
                <c:pt idx="8" c:formatCode="#,##0.00;&quot;-&quot;#,##0.00;#,##0.00;General">
                  <c:v>25206.57</c:v>
                </c:pt>
                <c:pt idx="9" c:formatCode="#,##0.00;&quot;-&quot;#,##0.00;#,##0.00;General">
                  <c:v>12354.61</c:v>
                </c:pt>
                <c:pt idx="10" c:formatCode="#,##0.00;&quot;-&quot;#,##0.00;#,##0.00;General">
                  <c:v>6346.9</c:v>
                </c:pt>
                <c:pt idx="11" c:formatCode="#,##0.00;&quot;-&quot;#,##0.00;#,##0.00;General">
                  <c:v>3894.16</c:v>
                </c:pt>
                <c:pt idx="12" c:formatCode="#,##0.00;&quot;-&quot;#,##0.00;#,##0.00;General">
                  <c:v>3943.48</c:v>
                </c:pt>
                <c:pt idx="13" c:formatCode="#,##0.00;&quot;-&quot;#,##0.00;#,##0.00;General">
                  <c:v>9336.51</c:v>
                </c:pt>
                <c:pt idx="14" c:formatCode="#,##0.00;&quot;-&quot;#,##0.00;#,##0.00;General">
                  <c:v>11117.05</c:v>
                </c:pt>
                <c:pt idx="15" c:formatCode="#,##0.00;&quot;-&quot;#,##0.00;#,##0.00;General">
                  <c:v>6622.39</c:v>
                </c:pt>
                <c:pt idx="16" c:formatCode="#,##0.00;&quot;-&quot;#,##0.00;#,##0.00;General">
                  <c:v>1570</c:v>
                </c:pt>
                <c:pt idx="17" c:formatCode="#,##0.00;&quot;-&quot;#,##0.00;#,##0.00;General">
                  <c:v>161.88</c:v>
                </c:pt>
                <c:pt idx="18" c:formatCode="#,##0.00;&quot;-&quot;#,##0.00;#,##0.00;General">
                  <c:v>201.38</c:v>
                </c:pt>
                <c:pt idx="19" c:formatCode="#,##0.00;&quot;-&quot;#,##0.00;#,##0.00;General">
                  <c:v>64.68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'2025年门店销售时段分析'!$B$126</c:f>
              <c:strCache>
                <c:ptCount val="1"/>
                <c:pt idx="0">
                  <c:v>11月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'2025年门店销售时段分析'!$C$114:$V$114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'2025年门店销售时段分析'!$C$126:$V$126</c:f>
              <c:numCache>
                <c:formatCode>#,##0.00;"-"#,##0.00;#,##0.00;General</c:formatCode>
                <c:ptCount val="20"/>
                <c:pt idx="0">
                  <c:v>16.1</c:v>
                </c:pt>
                <c:pt idx="1">
                  <c:v>429.84</c:v>
                </c:pt>
                <c:pt idx="2">
                  <c:v>13089.39</c:v>
                </c:pt>
                <c:pt idx="3">
                  <c:v>30805.88</c:v>
                </c:pt>
                <c:pt idx="4">
                  <c:v>38772</c:v>
                </c:pt>
                <c:pt idx="5">
                  <c:v>25405.53</c:v>
                </c:pt>
                <c:pt idx="6">
                  <c:v>15376.46</c:v>
                </c:pt>
                <c:pt idx="7">
                  <c:v>24013.94</c:v>
                </c:pt>
                <c:pt idx="8">
                  <c:v>24446.83</c:v>
                </c:pt>
                <c:pt idx="9">
                  <c:v>13530.69</c:v>
                </c:pt>
                <c:pt idx="10">
                  <c:v>7284.48</c:v>
                </c:pt>
                <c:pt idx="11">
                  <c:v>4193.68</c:v>
                </c:pt>
                <c:pt idx="12">
                  <c:v>5544.21</c:v>
                </c:pt>
                <c:pt idx="13">
                  <c:v>10732.36</c:v>
                </c:pt>
                <c:pt idx="14">
                  <c:v>11559.8</c:v>
                </c:pt>
                <c:pt idx="15">
                  <c:v>7717.95</c:v>
                </c:pt>
                <c:pt idx="16">
                  <c:v>1740.66</c:v>
                </c:pt>
                <c:pt idx="17">
                  <c:v>34.33</c:v>
                </c:pt>
                <c:pt idx="18">
                  <c:v>67.68</c:v>
                </c:pt>
                <c:pt idx="19">
                  <c:v>56.64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'2025年门店销售时段分析'!$B$127</c:f>
              <c:strCache>
                <c:ptCount val="1"/>
                <c:pt idx="0">
                  <c:v>12月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'2025年门店销售时段分析'!$C$114:$V$114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'2025年门店销售时段分析'!$C$127:$V$127</c:f>
              <c:numCache>
                <c:formatCode>General</c:formatCode>
                <c:ptCount val="20"/>
                <c:pt idx="0">
                  <c:v>63.32</c:v>
                </c:pt>
                <c:pt idx="1" c:formatCode="#,##0.00;&quot;-&quot;#,##0.00;#,##0.00;General">
                  <c:v>440.55</c:v>
                </c:pt>
                <c:pt idx="2" c:formatCode="#,##0.00;&quot;-&quot;#,##0.00;#,##0.00;General">
                  <c:v>12420.82</c:v>
                </c:pt>
                <c:pt idx="3" c:formatCode="#,##0.00;&quot;-&quot;#,##0.00;#,##0.00;General">
                  <c:v>27369.11</c:v>
                </c:pt>
                <c:pt idx="4" c:formatCode="#,##0.00;&quot;-&quot;#,##0.00;#,##0.00;General">
                  <c:v>40741.49</c:v>
                </c:pt>
                <c:pt idx="5" c:formatCode="#,##0.00;&quot;-&quot;#,##0.00;#,##0.00;General">
                  <c:v>27666.91</c:v>
                </c:pt>
                <c:pt idx="6" c:formatCode="#,##0.00;&quot;-&quot;#,##0.00;#,##0.00;General">
                  <c:v>18208.76</c:v>
                </c:pt>
                <c:pt idx="7" c:formatCode="#,##0.00;&quot;-&quot;#,##0.00;#,##0.00;General">
                  <c:v>25253.82</c:v>
                </c:pt>
                <c:pt idx="8" c:formatCode="#,##0.00;&quot;-&quot;#,##0.00;#,##0.00;General">
                  <c:v>25659.08</c:v>
                </c:pt>
                <c:pt idx="9" c:formatCode="#,##0.00;&quot;-&quot;#,##0.00;#,##0.00;General">
                  <c:v>13629.48</c:v>
                </c:pt>
                <c:pt idx="10" c:formatCode="#,##0.00;&quot;-&quot;#,##0.00;#,##0.00;General">
                  <c:v>7702.67</c:v>
                </c:pt>
                <c:pt idx="11" c:formatCode="#,##0.00;&quot;-&quot;#,##0.00;#,##0.00;General">
                  <c:v>4258.28</c:v>
                </c:pt>
                <c:pt idx="12" c:formatCode="#,##0.00;&quot;-&quot;#,##0.00;#,##0.00;General">
                  <c:v>5134.05</c:v>
                </c:pt>
                <c:pt idx="13" c:formatCode="#,##0.00;&quot;-&quot;#,##0.00;#,##0.00;General">
                  <c:v>13131.39</c:v>
                </c:pt>
                <c:pt idx="14" c:formatCode="#,##0.00;&quot;-&quot;#,##0.00;#,##0.00;General">
                  <c:v>13373.46</c:v>
                </c:pt>
                <c:pt idx="15" c:formatCode="#,##0.00;&quot;-&quot;#,##0.00;#,##0.00;General">
                  <c:v>8430.75</c:v>
                </c:pt>
                <c:pt idx="16" c:formatCode="#,##0.00;&quot;-&quot;#,##0.00;#,##0.00;General">
                  <c:v>1373.74</c:v>
                </c:pt>
                <c:pt idx="17" c:formatCode="#,##0.00;&quot;-&quot;#,##0.00;#,##0.00;General">
                  <c:v>19.32</c:v>
                </c:pt>
                <c:pt idx="18" c:formatCode="#,##0.00;&quot;-&quot;#,##0.00;#,##0.00;General">
                  <c:v>41.01</c:v>
                </c:pt>
                <c:pt idx="19" c:formatCode="#,##0.00;&quot;-&quot;#,##0.00;#,##0.00;General">
                  <c:v>41.46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7443612"/>
        <c:axId val="618698323"/>
      </c:lineChart>
      <c:catAx>
        <c:axId val="9874436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698323"/>
        <c:crosses val="autoZero"/>
        <c:auto val="1"/>
        <c:lblAlgn val="ctr"/>
        <c:lblOffset val="100"/>
        <c:noMultiLvlLbl val="0"/>
      </c:catAx>
      <c:valAx>
        <c:axId val="6186983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4436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华科店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'2025年门店销售时段分析'!$B$134</c:f>
              <c:strCache>
                <c:ptCount val="1"/>
                <c:pt idx="0">
                  <c:v>时段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'2025年门店销售时段分析'!$C$133:$V$133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'2025年门店销售时段分析'!$C$134:$V$134</c:f>
              <c:numCache>
                <c:formatCode>#,##0.00_);[Red]\(#,##0.00\)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c:formatCode="General">
                  <c:v>0</c:v>
                </c:pt>
                <c:pt idx="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'2025年门店销售时段分析'!$B$135</c:f>
              <c:strCache>
                <c:ptCount val="1"/>
                <c:pt idx="0">
                  <c:v>1月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'2025年门店销售时段分析'!$C$133:$V$133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'2025年门店销售时段分析'!$C$135:$V$135</c:f>
              <c:numCache>
                <c:formatCode>#,##0.00;"-"#,##0.00;#,##0.00;General</c:formatCode>
                <c:ptCount val="20"/>
                <c:pt idx="0">
                  <c:v>112</c:v>
                </c:pt>
                <c:pt idx="1">
                  <c:v>1133.9</c:v>
                </c:pt>
                <c:pt idx="2">
                  <c:v>8265.39</c:v>
                </c:pt>
                <c:pt idx="3">
                  <c:v>25565.39</c:v>
                </c:pt>
                <c:pt idx="4">
                  <c:v>49572.86</c:v>
                </c:pt>
                <c:pt idx="5">
                  <c:v>46423.74</c:v>
                </c:pt>
                <c:pt idx="6">
                  <c:v>27108.57</c:v>
                </c:pt>
                <c:pt idx="7">
                  <c:v>50103.87</c:v>
                </c:pt>
                <c:pt idx="8">
                  <c:v>73019</c:v>
                </c:pt>
                <c:pt idx="9">
                  <c:v>29708.59</c:v>
                </c:pt>
                <c:pt idx="10">
                  <c:v>13723.51</c:v>
                </c:pt>
                <c:pt idx="11">
                  <c:v>7142.58</c:v>
                </c:pt>
                <c:pt idx="12">
                  <c:v>6309.92</c:v>
                </c:pt>
                <c:pt idx="13">
                  <c:v>28357.72</c:v>
                </c:pt>
                <c:pt idx="14">
                  <c:v>36303.07</c:v>
                </c:pt>
                <c:pt idx="15">
                  <c:v>21666.7</c:v>
                </c:pt>
                <c:pt idx="16">
                  <c:v>11275.6</c:v>
                </c:pt>
                <c:pt idx="17">
                  <c:v>450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'2025年门店销售时段分析'!$B$136</c:f>
              <c:strCache>
                <c:ptCount val="1"/>
                <c:pt idx="0">
                  <c:v>2月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'2025年门店销售时段分析'!$C$133:$V$133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'2025年门店销售时段分析'!$C$136:$V$136</c:f>
              <c:numCache>
                <c:formatCode>#,##0.00;"-"#,##0.00;#,##0.00;General</c:formatCode>
                <c:ptCount val="20"/>
                <c:pt idx="0">
                  <c:v>55</c:v>
                </c:pt>
                <c:pt idx="1">
                  <c:v>1251.61</c:v>
                </c:pt>
                <c:pt idx="2">
                  <c:v>7263.14</c:v>
                </c:pt>
                <c:pt idx="3">
                  <c:v>27054.78</c:v>
                </c:pt>
                <c:pt idx="4">
                  <c:v>48613.68</c:v>
                </c:pt>
                <c:pt idx="5">
                  <c:v>45123.73</c:v>
                </c:pt>
                <c:pt idx="6">
                  <c:v>26056.2</c:v>
                </c:pt>
                <c:pt idx="7">
                  <c:v>46767.11</c:v>
                </c:pt>
                <c:pt idx="8">
                  <c:v>63498.77</c:v>
                </c:pt>
                <c:pt idx="9">
                  <c:v>26740.65</c:v>
                </c:pt>
                <c:pt idx="10">
                  <c:v>11478</c:v>
                </c:pt>
                <c:pt idx="11">
                  <c:v>6417.21</c:v>
                </c:pt>
                <c:pt idx="12">
                  <c:v>6887.18</c:v>
                </c:pt>
                <c:pt idx="13">
                  <c:v>29405.17</c:v>
                </c:pt>
                <c:pt idx="14">
                  <c:v>37177.1</c:v>
                </c:pt>
                <c:pt idx="15">
                  <c:v>23125.66</c:v>
                </c:pt>
                <c:pt idx="16">
                  <c:v>10386.08</c:v>
                </c:pt>
                <c:pt idx="17">
                  <c:v>292.14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'2025年门店销售时段分析'!$B$137</c:f>
              <c:strCache>
                <c:ptCount val="1"/>
                <c:pt idx="0">
                  <c:v>3月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'2025年门店销售时段分析'!$C$133:$V$133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'2025年门店销售时段分析'!$C$137:$V$137</c:f>
              <c:numCache>
                <c:formatCode>#,##0.00;"-"#,##0.00;#,##0.00;General</c:formatCode>
                <c:ptCount val="20"/>
                <c:pt idx="0">
                  <c:v>149</c:v>
                </c:pt>
                <c:pt idx="1">
                  <c:v>1703.15</c:v>
                </c:pt>
                <c:pt idx="2">
                  <c:v>10478</c:v>
                </c:pt>
                <c:pt idx="3">
                  <c:v>34997.87</c:v>
                </c:pt>
                <c:pt idx="4">
                  <c:v>52207.39</c:v>
                </c:pt>
                <c:pt idx="5">
                  <c:v>39947.99</c:v>
                </c:pt>
                <c:pt idx="6">
                  <c:v>22107.74</c:v>
                </c:pt>
                <c:pt idx="7">
                  <c:v>58937.28</c:v>
                </c:pt>
                <c:pt idx="8">
                  <c:v>81339.21</c:v>
                </c:pt>
                <c:pt idx="9">
                  <c:v>30324.78</c:v>
                </c:pt>
                <c:pt idx="10">
                  <c:v>12139.28</c:v>
                </c:pt>
                <c:pt idx="11">
                  <c:v>7317.01</c:v>
                </c:pt>
                <c:pt idx="12">
                  <c:v>7034.94</c:v>
                </c:pt>
                <c:pt idx="13">
                  <c:v>34340.02</c:v>
                </c:pt>
                <c:pt idx="14">
                  <c:v>42461.76</c:v>
                </c:pt>
                <c:pt idx="15">
                  <c:v>25367.39</c:v>
                </c:pt>
                <c:pt idx="16">
                  <c:v>10705.67</c:v>
                </c:pt>
                <c:pt idx="17">
                  <c:v>1308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'2025年门店销售时段分析'!$B$138</c:f>
              <c:strCache>
                <c:ptCount val="1"/>
                <c:pt idx="0">
                  <c:v>4月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'2025年门店销售时段分析'!$C$133:$V$133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'2025年门店销售时段分析'!$C$138:$V$138</c:f>
              <c:numCache>
                <c:formatCode>#,##0.00;"-"#,##0.00;#,##0.00;General</c:formatCode>
                <c:ptCount val="20"/>
                <c:pt idx="0">
                  <c:v>112.5</c:v>
                </c:pt>
                <c:pt idx="1">
                  <c:v>1808.09</c:v>
                </c:pt>
                <c:pt idx="2">
                  <c:v>13058.02</c:v>
                </c:pt>
                <c:pt idx="3">
                  <c:v>37345.1</c:v>
                </c:pt>
                <c:pt idx="4">
                  <c:v>50598.23</c:v>
                </c:pt>
                <c:pt idx="5">
                  <c:v>35714.67</c:v>
                </c:pt>
                <c:pt idx="6">
                  <c:v>18037.97</c:v>
                </c:pt>
                <c:pt idx="7">
                  <c:v>57175.59</c:v>
                </c:pt>
                <c:pt idx="8">
                  <c:v>76941.11</c:v>
                </c:pt>
                <c:pt idx="9">
                  <c:v>23984.62</c:v>
                </c:pt>
                <c:pt idx="10">
                  <c:v>9480.86</c:v>
                </c:pt>
                <c:pt idx="11">
                  <c:v>5736.77</c:v>
                </c:pt>
                <c:pt idx="12">
                  <c:v>5650.9</c:v>
                </c:pt>
                <c:pt idx="13">
                  <c:v>33617.87</c:v>
                </c:pt>
                <c:pt idx="14">
                  <c:v>37114.77</c:v>
                </c:pt>
                <c:pt idx="15">
                  <c:v>23913.88</c:v>
                </c:pt>
                <c:pt idx="16">
                  <c:v>10037.52</c:v>
                </c:pt>
                <c:pt idx="17">
                  <c:v>723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'2025年门店销售时段分析'!$B$139</c:f>
              <c:strCache>
                <c:ptCount val="1"/>
                <c:pt idx="0">
                  <c:v>5月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'2025年门店销售时段分析'!$C$133:$V$133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'2025年门店销售时段分析'!$C$139:$V$139</c:f>
              <c:numCache>
                <c:formatCode>#,##0.00;"-"#,##0.00;#,##0.00;General</c:formatCode>
                <c:ptCount val="20"/>
                <c:pt idx="0">
                  <c:v>63</c:v>
                </c:pt>
                <c:pt idx="1">
                  <c:v>2019.67</c:v>
                </c:pt>
                <c:pt idx="2">
                  <c:v>13842.04</c:v>
                </c:pt>
                <c:pt idx="3">
                  <c:v>38760.7</c:v>
                </c:pt>
                <c:pt idx="4">
                  <c:v>53252.87</c:v>
                </c:pt>
                <c:pt idx="5">
                  <c:v>40527.36</c:v>
                </c:pt>
                <c:pt idx="6">
                  <c:v>20868.99</c:v>
                </c:pt>
                <c:pt idx="7">
                  <c:v>57163.09</c:v>
                </c:pt>
                <c:pt idx="8">
                  <c:v>71728.51</c:v>
                </c:pt>
                <c:pt idx="9">
                  <c:v>24782.2</c:v>
                </c:pt>
                <c:pt idx="10">
                  <c:v>10028.22</c:v>
                </c:pt>
                <c:pt idx="11">
                  <c:v>5135.73</c:v>
                </c:pt>
                <c:pt idx="12">
                  <c:v>5046.92</c:v>
                </c:pt>
                <c:pt idx="13">
                  <c:v>30610.14</c:v>
                </c:pt>
                <c:pt idx="14">
                  <c:v>32777.84</c:v>
                </c:pt>
                <c:pt idx="15">
                  <c:v>22773.42</c:v>
                </c:pt>
                <c:pt idx="16">
                  <c:v>11115.26</c:v>
                </c:pt>
                <c:pt idx="17">
                  <c:v>754.6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'2025年门店销售时段分析'!$B$140</c:f>
              <c:strCache>
                <c:ptCount val="1"/>
                <c:pt idx="0">
                  <c:v>6月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'2025年门店销售时段分析'!$C$133:$V$133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'2025年门店销售时段分析'!$C$140:$V$140</c:f>
              <c:numCache>
                <c:formatCode>#,##0.00;"-"#,##0.00;#,##0.00;General</c:formatCode>
                <c:ptCount val="20"/>
                <c:pt idx="0">
                  <c:v>63.5</c:v>
                </c:pt>
                <c:pt idx="1">
                  <c:v>2403.98</c:v>
                </c:pt>
                <c:pt idx="2">
                  <c:v>14383.59</c:v>
                </c:pt>
                <c:pt idx="3">
                  <c:v>34234.95</c:v>
                </c:pt>
                <c:pt idx="4">
                  <c:v>48768.51</c:v>
                </c:pt>
                <c:pt idx="5">
                  <c:v>36069.66</c:v>
                </c:pt>
                <c:pt idx="6">
                  <c:v>20689.19</c:v>
                </c:pt>
                <c:pt idx="7">
                  <c:v>57796.04</c:v>
                </c:pt>
                <c:pt idx="8">
                  <c:v>70609.28</c:v>
                </c:pt>
                <c:pt idx="9">
                  <c:v>22897.93</c:v>
                </c:pt>
                <c:pt idx="10">
                  <c:v>9143.01</c:v>
                </c:pt>
                <c:pt idx="11">
                  <c:v>4087.94</c:v>
                </c:pt>
                <c:pt idx="12">
                  <c:v>6023.02</c:v>
                </c:pt>
                <c:pt idx="13">
                  <c:v>32878.58</c:v>
                </c:pt>
                <c:pt idx="14">
                  <c:v>35720.62</c:v>
                </c:pt>
                <c:pt idx="15">
                  <c:v>21486.84</c:v>
                </c:pt>
                <c:pt idx="16">
                  <c:v>9814.58</c:v>
                </c:pt>
                <c:pt idx="17">
                  <c:v>2615.03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'2025年门店销售时段分析'!$B$141</c:f>
              <c:strCache>
                <c:ptCount val="1"/>
                <c:pt idx="0">
                  <c:v>7月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'2025年门店销售时段分析'!$C$133:$V$133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'2025年门店销售时段分析'!$C$141:$V$141</c:f>
              <c:numCache>
                <c:formatCode>#,##0.00;"-"#,##0.00;#,##0.00;General</c:formatCode>
                <c:ptCount val="20"/>
                <c:pt idx="0">
                  <c:v>292.62</c:v>
                </c:pt>
                <c:pt idx="1">
                  <c:v>2616.22</c:v>
                </c:pt>
                <c:pt idx="2">
                  <c:v>17049.01</c:v>
                </c:pt>
                <c:pt idx="3">
                  <c:v>47304.4</c:v>
                </c:pt>
                <c:pt idx="4">
                  <c:v>62219.06</c:v>
                </c:pt>
                <c:pt idx="5">
                  <c:v>47075.86</c:v>
                </c:pt>
                <c:pt idx="6">
                  <c:v>26572.11</c:v>
                </c:pt>
                <c:pt idx="7">
                  <c:v>65946.91</c:v>
                </c:pt>
                <c:pt idx="8">
                  <c:v>73921.49</c:v>
                </c:pt>
                <c:pt idx="9">
                  <c:v>25587.81</c:v>
                </c:pt>
                <c:pt idx="10">
                  <c:v>9292.81</c:v>
                </c:pt>
                <c:pt idx="11">
                  <c:v>4969.34</c:v>
                </c:pt>
                <c:pt idx="12">
                  <c:v>5743.85</c:v>
                </c:pt>
                <c:pt idx="13">
                  <c:v>35226.27</c:v>
                </c:pt>
                <c:pt idx="14">
                  <c:v>42306.77</c:v>
                </c:pt>
                <c:pt idx="15">
                  <c:v>28158.13</c:v>
                </c:pt>
                <c:pt idx="16">
                  <c:v>13030.74</c:v>
                </c:pt>
                <c:pt idx="17">
                  <c:v>792.45</c:v>
                </c:pt>
                <c:pt idx="18" c:formatCode="General">
                  <c:v>293.3</c:v>
                </c:pt>
                <c:pt idx="19">
                  <c:v>437.96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'2025年门店销售时段分析'!$B$142</c:f>
              <c:strCache>
                <c:ptCount val="1"/>
                <c:pt idx="0">
                  <c:v>8月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'2025年门店销售时段分析'!$C$133:$V$133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'2025年门店销售时段分析'!$C$142:$V$142</c:f>
              <c:numCache>
                <c:formatCode>#,##0.00;"-"#,##0.00;#,##0.00;General</c:formatCode>
                <c:ptCount val="20"/>
                <c:pt idx="0">
                  <c:v>920.24</c:v>
                </c:pt>
                <c:pt idx="1">
                  <c:v>2204.75</c:v>
                </c:pt>
                <c:pt idx="2">
                  <c:v>16610.75</c:v>
                </c:pt>
                <c:pt idx="3">
                  <c:v>46187.35</c:v>
                </c:pt>
                <c:pt idx="4">
                  <c:v>63854.81</c:v>
                </c:pt>
                <c:pt idx="5">
                  <c:v>53213.35</c:v>
                </c:pt>
                <c:pt idx="6">
                  <c:v>32696.98</c:v>
                </c:pt>
                <c:pt idx="7">
                  <c:v>70590.42</c:v>
                </c:pt>
                <c:pt idx="8">
                  <c:v>74087.77</c:v>
                </c:pt>
                <c:pt idx="9">
                  <c:v>26062.52</c:v>
                </c:pt>
                <c:pt idx="10">
                  <c:v>9383.15</c:v>
                </c:pt>
                <c:pt idx="11">
                  <c:v>5645.93</c:v>
                </c:pt>
                <c:pt idx="12">
                  <c:v>5860.14</c:v>
                </c:pt>
                <c:pt idx="13">
                  <c:v>34447.37</c:v>
                </c:pt>
                <c:pt idx="14">
                  <c:v>43147.18</c:v>
                </c:pt>
                <c:pt idx="15">
                  <c:v>24017.61</c:v>
                </c:pt>
                <c:pt idx="16">
                  <c:v>14327.36</c:v>
                </c:pt>
                <c:pt idx="17">
                  <c:v>245.66</c:v>
                </c:pt>
                <c:pt idx="18" c:formatCode="General">
                  <c:v>394.98</c:v>
                </c:pt>
                <c:pt idx="19">
                  <c:v>406.34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'2025年门店销售时段分析'!$B$143</c:f>
              <c:strCache>
                <c:ptCount val="1"/>
                <c:pt idx="0">
                  <c:v>9月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'2025年门店销售时段分析'!$C$133:$V$133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'2025年门店销售时段分析'!$C$143:$V$143</c:f>
              <c:numCache>
                <c:formatCode>#,##0.00_);[Red]\(#,##0.00\)</c:formatCode>
                <c:ptCount val="20"/>
                <c:pt idx="0">
                  <c:v>1050.23</c:v>
                </c:pt>
                <c:pt idx="1" c:formatCode="#,##0.00;&quot;-&quot;#,##0.00;#,##0.00;General">
                  <c:v>2169.79</c:v>
                </c:pt>
                <c:pt idx="2" c:formatCode="#,##0.00;&quot;-&quot;#,##0.00;#,##0.00;General">
                  <c:v>17270.86</c:v>
                </c:pt>
                <c:pt idx="3" c:formatCode="#,##0.00;&quot;-&quot;#,##0.00;#,##0.00;General">
                  <c:v>42038.83</c:v>
                </c:pt>
                <c:pt idx="4" c:formatCode="#,##0.00;&quot;-&quot;#,##0.00;#,##0.00;General">
                  <c:v>54902.56</c:v>
                </c:pt>
                <c:pt idx="5" c:formatCode="#,##0.00;&quot;-&quot;#,##0.00;#,##0.00;General">
                  <c:v>37809.89</c:v>
                </c:pt>
                <c:pt idx="6" c:formatCode="#,##0.00;&quot;-&quot;#,##0.00;#,##0.00;General">
                  <c:v>23898.08</c:v>
                </c:pt>
                <c:pt idx="7" c:formatCode="#,##0.00;&quot;-&quot;#,##0.00;#,##0.00;General">
                  <c:v>67970.48</c:v>
                </c:pt>
                <c:pt idx="8" c:formatCode="#,##0.00;&quot;-&quot;#,##0.00;#,##0.00;General">
                  <c:v>78027.2</c:v>
                </c:pt>
                <c:pt idx="9" c:formatCode="#,##0.00;&quot;-&quot;#,##0.00;#,##0.00;General">
                  <c:v>25263.18</c:v>
                </c:pt>
                <c:pt idx="10" c:formatCode="#,##0.00;&quot;-&quot;#,##0.00;#,##0.00;General">
                  <c:v>8952.64</c:v>
                </c:pt>
                <c:pt idx="11" c:formatCode="#,##0.00;&quot;-&quot;#,##0.00;#,##0.00;General">
                  <c:v>4812.06</c:v>
                </c:pt>
                <c:pt idx="12" c:formatCode="#,##0.00;&quot;-&quot;#,##0.00;#,##0.00;General">
                  <c:v>6480.44</c:v>
                </c:pt>
                <c:pt idx="13" c:formatCode="#,##0.00;&quot;-&quot;#,##0.00;#,##0.00;General">
                  <c:v>36319.32</c:v>
                </c:pt>
                <c:pt idx="14" c:formatCode="#,##0.00;&quot;-&quot;#,##0.00;#,##0.00;General">
                  <c:v>38293.09</c:v>
                </c:pt>
                <c:pt idx="15" c:formatCode="#,##0.00;&quot;-&quot;#,##0.00;#,##0.00;General">
                  <c:v>20145.96</c:v>
                </c:pt>
                <c:pt idx="16" c:formatCode="#,##0.00;&quot;-&quot;#,##0.00;#,##0.00;General">
                  <c:v>8255.2</c:v>
                </c:pt>
                <c:pt idx="17" c:formatCode="#,##0.00;&quot;-&quot;#,##0.00;#,##0.00;General">
                  <c:v>1811.93</c:v>
                </c:pt>
                <c:pt idx="18" c:formatCode="General">
                  <c:v>19.24</c:v>
                </c:pt>
                <c:pt idx="19" c:formatCode="#,##0.00;&quot;-&quot;#,##0.00;#,##0.00;General">
                  <c:v>71.83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'2025年门店销售时段分析'!$B$144</c:f>
              <c:strCache>
                <c:ptCount val="1"/>
                <c:pt idx="0">
                  <c:v>10月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'2025年门店销售时段分析'!$C$133:$V$133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'2025年门店销售时段分析'!$C$144:$V$144</c:f>
              <c:numCache>
                <c:formatCode>#,##0.00_);[Red]\(#,##0.00\)</c:formatCode>
                <c:ptCount val="20"/>
                <c:pt idx="0">
                  <c:v>894.02</c:v>
                </c:pt>
                <c:pt idx="1" c:formatCode="#,##0.00;&quot;-&quot;#,##0.00;#,##0.00;General">
                  <c:v>2022.51</c:v>
                </c:pt>
                <c:pt idx="2" c:formatCode="#,##0.00;&quot;-&quot;#,##0.00;#,##0.00;General">
                  <c:v>13792.3</c:v>
                </c:pt>
                <c:pt idx="3" c:formatCode="#,##0.00;&quot;-&quot;#,##0.00;#,##0.00;General">
                  <c:v>37820.64</c:v>
                </c:pt>
                <c:pt idx="4" c:formatCode="#,##0.00;&quot;-&quot;#,##0.00;#,##0.00;General">
                  <c:v>58656.67</c:v>
                </c:pt>
                <c:pt idx="5" c:formatCode="#,##0.00;&quot;-&quot;#,##0.00;#,##0.00;General">
                  <c:v>44549.88</c:v>
                </c:pt>
                <c:pt idx="6" c:formatCode="#,##0.00;&quot;-&quot;#,##0.00;#,##0.00;General">
                  <c:v>25282.05</c:v>
                </c:pt>
                <c:pt idx="7" c:formatCode="#,##0.00;&quot;-&quot;#,##0.00;#,##0.00;General">
                  <c:v>60914.04</c:v>
                </c:pt>
                <c:pt idx="8" c:formatCode="#,##0.00;&quot;-&quot;#,##0.00;#,##0.00;General">
                  <c:v>77063.71</c:v>
                </c:pt>
                <c:pt idx="9" c:formatCode="#,##0.00;&quot;-&quot;#,##0.00;#,##0.00;General">
                  <c:v>26369.74</c:v>
                </c:pt>
                <c:pt idx="10" c:formatCode="#,##0.00;&quot;-&quot;#,##0.00;#,##0.00;General">
                  <c:v>10755.29</c:v>
                </c:pt>
                <c:pt idx="11" c:formatCode="#,##0.00;&quot;-&quot;#,##0.00;#,##0.00;General">
                  <c:v>5287.64</c:v>
                </c:pt>
                <c:pt idx="12" c:formatCode="#,##0.00;&quot;-&quot;#,##0.00;#,##0.00;General">
                  <c:v>6802.05</c:v>
                </c:pt>
                <c:pt idx="13" c:formatCode="#,##0.00;&quot;-&quot;#,##0.00;#,##0.00;General">
                  <c:v>35017.11</c:v>
                </c:pt>
                <c:pt idx="14" c:formatCode="#,##0.00;&quot;-&quot;#,##0.00;#,##0.00;General">
                  <c:v>35689.5</c:v>
                </c:pt>
                <c:pt idx="15" c:formatCode="#,##0.00;&quot;-&quot;#,##0.00;#,##0.00;General">
                  <c:v>19851.59</c:v>
                </c:pt>
                <c:pt idx="16" c:formatCode="#,##0.00;&quot;-&quot;#,##0.00;#,##0.00;General">
                  <c:v>10185.53</c:v>
                </c:pt>
                <c:pt idx="17" c:formatCode="#,##0.00;&quot;-&quot;#,##0.00;#,##0.00;General">
                  <c:v>1997.42</c:v>
                </c:pt>
                <c:pt idx="19" c:formatCode="#,##0.00;&quot;-&quot;#,##0.00;#,##0.00;General">
                  <c:v>20.51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'2025年门店销售时段分析'!$B$145</c:f>
              <c:strCache>
                <c:ptCount val="1"/>
                <c:pt idx="0">
                  <c:v>11月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'2025年门店销售时段分析'!$C$133:$V$133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'2025年门店销售时段分析'!$C$145:$V$145</c:f>
              <c:numCache>
                <c:formatCode>#,##0.00;"-"#,##0.00;#,##0.00;General</c:formatCode>
                <c:ptCount val="20"/>
                <c:pt idx="0">
                  <c:v>649.26</c:v>
                </c:pt>
                <c:pt idx="1">
                  <c:v>1824.92</c:v>
                </c:pt>
                <c:pt idx="2">
                  <c:v>13954.37</c:v>
                </c:pt>
                <c:pt idx="3">
                  <c:v>35098.76</c:v>
                </c:pt>
                <c:pt idx="4">
                  <c:v>55219.34</c:v>
                </c:pt>
                <c:pt idx="5">
                  <c:v>42147.09</c:v>
                </c:pt>
                <c:pt idx="6">
                  <c:v>24249.9</c:v>
                </c:pt>
                <c:pt idx="7">
                  <c:v>63793.4</c:v>
                </c:pt>
                <c:pt idx="8">
                  <c:v>78818.07</c:v>
                </c:pt>
                <c:pt idx="9">
                  <c:v>27151.22</c:v>
                </c:pt>
                <c:pt idx="10">
                  <c:v>10394.94</c:v>
                </c:pt>
                <c:pt idx="11">
                  <c:v>4862.04</c:v>
                </c:pt>
                <c:pt idx="12">
                  <c:v>7430.19</c:v>
                </c:pt>
                <c:pt idx="13">
                  <c:v>36065.79</c:v>
                </c:pt>
                <c:pt idx="14">
                  <c:v>33810.59</c:v>
                </c:pt>
                <c:pt idx="15">
                  <c:v>17746.27</c:v>
                </c:pt>
                <c:pt idx="16">
                  <c:v>11067.02</c:v>
                </c:pt>
                <c:pt idx="17">
                  <c:v>605.8</c:v>
                </c:pt>
                <c:pt idx="18" c:formatCode="General">
                  <c:v>32.27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'2025年门店销售时段分析'!$B$146</c:f>
              <c:strCache>
                <c:ptCount val="1"/>
                <c:pt idx="0">
                  <c:v>12月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'2025年门店销售时段分析'!$C$133:$V$133</c:f>
              <c:strCache>
                <c:ptCount val="20"/>
                <c:pt idx="0">
                  <c:v>00:00-05:00</c:v>
                </c:pt>
                <c:pt idx="1">
                  <c:v>05:00-06:00</c:v>
                </c:pt>
                <c:pt idx="2">
                  <c:v>06:00-07:00</c:v>
                </c:pt>
                <c:pt idx="3">
                  <c:v>07:00-08:00</c:v>
                </c:pt>
                <c:pt idx="4">
                  <c:v>08:00-09:00</c:v>
                </c:pt>
                <c:pt idx="5">
                  <c:v>09:00-10:00</c:v>
                </c:pt>
                <c:pt idx="6">
                  <c:v>10:00-11:00</c:v>
                </c:pt>
                <c:pt idx="7">
                  <c:v>11:00-12:00</c:v>
                </c:pt>
                <c:pt idx="8">
                  <c:v>12:00-13:00</c:v>
                </c:pt>
                <c:pt idx="9">
                  <c:v>13:00-14:00</c:v>
                </c:pt>
                <c:pt idx="10">
                  <c:v>14:00-15:00</c:v>
                </c:pt>
                <c:pt idx="11">
                  <c:v>15:00-16:00</c:v>
                </c:pt>
                <c:pt idx="12">
                  <c:v>16:00-17:00</c:v>
                </c:pt>
                <c:pt idx="13">
                  <c:v>17:00-18:00</c:v>
                </c:pt>
                <c:pt idx="14">
                  <c:v>18:00-19:00</c:v>
                </c:pt>
                <c:pt idx="15">
                  <c:v>19:00-20:00</c:v>
                </c:pt>
                <c:pt idx="16">
                  <c:v>20:00-21:00</c:v>
                </c:pt>
                <c:pt idx="17">
                  <c:v>21:00-22:00</c:v>
                </c:pt>
                <c:pt idx="18">
                  <c:v>22:00-23:00</c:v>
                </c:pt>
                <c:pt idx="19">
                  <c:v>23:00-24:00</c:v>
                </c:pt>
              </c:strCache>
            </c:strRef>
          </c:cat>
          <c:val>
            <c:numRef>
              <c:f>'2025年门店销售时段分析'!$C$146:$V$146</c:f>
              <c:numCache>
                <c:formatCode>General</c:formatCode>
                <c:ptCount val="20"/>
                <c:pt idx="0">
                  <c:v>987.05</c:v>
                </c:pt>
                <c:pt idx="1" c:formatCode="#,##0.00;&quot;-&quot;#,##0.00;#,##0.00;General">
                  <c:v>1671.2</c:v>
                </c:pt>
                <c:pt idx="2" c:formatCode="#,##0.00;&quot;-&quot;#,##0.00;#,##0.00;General">
                  <c:v>14266.4</c:v>
                </c:pt>
                <c:pt idx="3" c:formatCode="#,##0.00;&quot;-&quot;#,##0.00;#,##0.00;General">
                  <c:v>36454.15</c:v>
                </c:pt>
                <c:pt idx="4" c:formatCode="#,##0.00;&quot;-&quot;#,##0.00;#,##0.00;General">
                  <c:v>58121.76</c:v>
                </c:pt>
                <c:pt idx="5" c:formatCode="#,##0.00;&quot;-&quot;#,##0.00;#,##0.00;General">
                  <c:v>43019.85</c:v>
                </c:pt>
                <c:pt idx="6" c:formatCode="#,##0.00;&quot;-&quot;#,##0.00;#,##0.00;General">
                  <c:v>28699.33</c:v>
                </c:pt>
                <c:pt idx="7" c:formatCode="#,##0.00;&quot;-&quot;#,##0.00;#,##0.00;General">
                  <c:v>73655.68</c:v>
                </c:pt>
                <c:pt idx="8" c:formatCode="#,##0.00;&quot;-&quot;#,##0.00;#,##0.00;General">
                  <c:v>86449.45</c:v>
                </c:pt>
                <c:pt idx="9" c:formatCode="#,##0.00;&quot;-&quot;#,##0.00;#,##0.00;General">
                  <c:v>29204.71</c:v>
                </c:pt>
                <c:pt idx="10" c:formatCode="#,##0.00;&quot;-&quot;#,##0.00;#,##0.00;General">
                  <c:v>12269.92</c:v>
                </c:pt>
                <c:pt idx="11" c:formatCode="#,##0.00;&quot;-&quot;#,##0.00;#,##0.00;General">
                  <c:v>6279.44</c:v>
                </c:pt>
                <c:pt idx="12" c:formatCode="#,##0.00;&quot;-&quot;#,##0.00;#,##0.00;General">
                  <c:v>8072.21</c:v>
                </c:pt>
                <c:pt idx="13" c:formatCode="#,##0.00;&quot;-&quot;#,##0.00;#,##0.00;General">
                  <c:v>36473.91</c:v>
                </c:pt>
                <c:pt idx="14" c:formatCode="#,##0.00;&quot;-&quot;#,##0.00;#,##0.00;General">
                  <c:v>34294.32</c:v>
                </c:pt>
                <c:pt idx="15" c:formatCode="#,##0.00;&quot;-&quot;#,##0.00;#,##0.00;General">
                  <c:v>18014.25</c:v>
                </c:pt>
                <c:pt idx="16" c:formatCode="#,##0.00;&quot;-&quot;#,##0.00;#,##0.00;General">
                  <c:v>9216.61</c:v>
                </c:pt>
                <c:pt idx="17" c:formatCode="#,##0.00;&quot;-&quot;#,##0.00;#,##0.00;General">
                  <c:v>500.2</c:v>
                </c:pt>
                <c:pt idx="19" c:formatCode="#,##0.00;&quot;-&quot;#,##0.00;#,##0.00;General">
                  <c:v>32.58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4392119"/>
        <c:axId val="75525451"/>
      </c:lineChart>
      <c:catAx>
        <c:axId val="894392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525451"/>
        <c:crosses val="autoZero"/>
        <c:auto val="1"/>
        <c:lblAlgn val="ctr"/>
        <c:lblOffset val="100"/>
        <c:noMultiLvlLbl val="0"/>
      </c:catAx>
      <c:valAx>
        <c:axId val="755254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4392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7" Type="http://schemas.openxmlformats.org/officeDocument/2006/relationships/chart" Target="../charts/chart13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264795</xdr:colOff>
      <xdr:row>0</xdr:row>
      <xdr:rowOff>163830</xdr:rowOff>
    </xdr:from>
    <xdr:to>
      <xdr:col>23</xdr:col>
      <xdr:colOff>450850</xdr:colOff>
      <xdr:row>8</xdr:row>
      <xdr:rowOff>144145</xdr:rowOff>
    </xdr:to>
    <xdr:graphicFrame>
      <xdr:nvGraphicFramePr>
        <xdr:cNvPr id="2" name="图表 1"/>
        <xdr:cNvGraphicFramePr/>
      </xdr:nvGraphicFramePr>
      <xdr:xfrm>
        <a:off x="11320145" y="163830"/>
        <a:ext cx="4346575" cy="2723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227330</xdr:colOff>
      <xdr:row>8</xdr:row>
      <xdr:rowOff>245110</xdr:rowOff>
    </xdr:from>
    <xdr:to>
      <xdr:col>23</xdr:col>
      <xdr:colOff>469265</xdr:colOff>
      <xdr:row>16</xdr:row>
      <xdr:rowOff>290195</xdr:rowOff>
    </xdr:to>
    <xdr:graphicFrame>
      <xdr:nvGraphicFramePr>
        <xdr:cNvPr id="3" name="图表 2"/>
        <xdr:cNvGraphicFramePr/>
      </xdr:nvGraphicFramePr>
      <xdr:xfrm>
        <a:off x="11282680" y="2988310"/>
        <a:ext cx="4402455" cy="2750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187325</xdr:colOff>
      <xdr:row>17</xdr:row>
      <xdr:rowOff>40005</xdr:rowOff>
    </xdr:from>
    <xdr:to>
      <xdr:col>23</xdr:col>
      <xdr:colOff>469900</xdr:colOff>
      <xdr:row>25</xdr:row>
      <xdr:rowOff>88900</xdr:rowOff>
    </xdr:to>
    <xdr:graphicFrame>
      <xdr:nvGraphicFramePr>
        <xdr:cNvPr id="4" name="图表 3"/>
        <xdr:cNvGraphicFramePr/>
      </xdr:nvGraphicFramePr>
      <xdr:xfrm>
        <a:off x="11242675" y="5983605"/>
        <a:ext cx="4443095" cy="2855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221615</xdr:colOff>
      <xdr:row>26</xdr:row>
      <xdr:rowOff>17145</xdr:rowOff>
    </xdr:from>
    <xdr:to>
      <xdr:col>23</xdr:col>
      <xdr:colOff>510540</xdr:colOff>
      <xdr:row>32</xdr:row>
      <xdr:rowOff>169545</xdr:rowOff>
    </xdr:to>
    <xdr:graphicFrame>
      <xdr:nvGraphicFramePr>
        <xdr:cNvPr id="5" name="图表 4"/>
        <xdr:cNvGraphicFramePr/>
      </xdr:nvGraphicFramePr>
      <xdr:xfrm>
        <a:off x="11276965" y="8996045"/>
        <a:ext cx="4449445" cy="2260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282575</xdr:colOff>
      <xdr:row>34</xdr:row>
      <xdr:rowOff>48895</xdr:rowOff>
    </xdr:from>
    <xdr:to>
      <xdr:col>23</xdr:col>
      <xdr:colOff>551180</xdr:colOff>
      <xdr:row>40</xdr:row>
      <xdr:rowOff>50800</xdr:rowOff>
    </xdr:to>
    <xdr:graphicFrame>
      <xdr:nvGraphicFramePr>
        <xdr:cNvPr id="6" name="图表 5"/>
        <xdr:cNvGraphicFramePr/>
      </xdr:nvGraphicFramePr>
      <xdr:xfrm>
        <a:off x="11337925" y="11516995"/>
        <a:ext cx="4429125" cy="2097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222250</xdr:colOff>
      <xdr:row>41</xdr:row>
      <xdr:rowOff>111125</xdr:rowOff>
    </xdr:from>
    <xdr:to>
      <xdr:col>23</xdr:col>
      <xdr:colOff>506730</xdr:colOff>
      <xdr:row>46</xdr:row>
      <xdr:rowOff>290195</xdr:rowOff>
    </xdr:to>
    <xdr:graphicFrame>
      <xdr:nvGraphicFramePr>
        <xdr:cNvPr id="7" name="图表 6"/>
        <xdr:cNvGraphicFramePr/>
      </xdr:nvGraphicFramePr>
      <xdr:xfrm>
        <a:off x="11277600" y="13877925"/>
        <a:ext cx="4445000" cy="2134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24</xdr:col>
      <xdr:colOff>113665</xdr:colOff>
      <xdr:row>2</xdr:row>
      <xdr:rowOff>277495</xdr:rowOff>
    </xdr:from>
    <xdr:to>
      <xdr:col>38</xdr:col>
      <xdr:colOff>241935</xdr:colOff>
      <xdr:row>15</xdr:row>
      <xdr:rowOff>199390</xdr:rowOff>
    </xdr:to>
    <xdr:graphicFrame>
      <xdr:nvGraphicFramePr>
        <xdr:cNvPr id="2" name="图表 1"/>
        <xdr:cNvGraphicFramePr/>
      </xdr:nvGraphicFramePr>
      <xdr:xfrm>
        <a:off x="15145385" y="821055"/>
        <a:ext cx="8662670" cy="4277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125095</xdr:colOff>
      <xdr:row>20</xdr:row>
      <xdr:rowOff>186055</xdr:rowOff>
    </xdr:from>
    <xdr:to>
      <xdr:col>40</xdr:col>
      <xdr:colOff>305435</xdr:colOff>
      <xdr:row>34</xdr:row>
      <xdr:rowOff>8890</xdr:rowOff>
    </xdr:to>
    <xdr:graphicFrame>
      <xdr:nvGraphicFramePr>
        <xdr:cNvPr id="3" name="图表 2"/>
        <xdr:cNvGraphicFramePr/>
      </xdr:nvGraphicFramePr>
      <xdr:xfrm>
        <a:off x="15156815" y="6386195"/>
        <a:ext cx="9933940" cy="4509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119380</xdr:colOff>
      <xdr:row>37</xdr:row>
      <xdr:rowOff>33655</xdr:rowOff>
    </xdr:from>
    <xdr:to>
      <xdr:col>40</xdr:col>
      <xdr:colOff>282575</xdr:colOff>
      <xdr:row>52</xdr:row>
      <xdr:rowOff>112395</xdr:rowOff>
    </xdr:to>
    <xdr:graphicFrame>
      <xdr:nvGraphicFramePr>
        <xdr:cNvPr id="4" name="图表 3"/>
        <xdr:cNvGraphicFramePr/>
      </xdr:nvGraphicFramePr>
      <xdr:xfrm>
        <a:off x="15151100" y="11560175"/>
        <a:ext cx="9916795" cy="509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8890</xdr:colOff>
      <xdr:row>55</xdr:row>
      <xdr:rowOff>213995</xdr:rowOff>
    </xdr:from>
    <xdr:to>
      <xdr:col>40</xdr:col>
      <xdr:colOff>507365</xdr:colOff>
      <xdr:row>71</xdr:row>
      <xdr:rowOff>84455</xdr:rowOff>
    </xdr:to>
    <xdr:graphicFrame>
      <xdr:nvGraphicFramePr>
        <xdr:cNvPr id="5" name="图表 4"/>
        <xdr:cNvGraphicFramePr/>
      </xdr:nvGraphicFramePr>
      <xdr:xfrm>
        <a:off x="15040610" y="17396460"/>
        <a:ext cx="10252075" cy="5100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247650</xdr:colOff>
      <xdr:row>74</xdr:row>
      <xdr:rowOff>116840</xdr:rowOff>
    </xdr:from>
    <xdr:to>
      <xdr:col>41</xdr:col>
      <xdr:colOff>297180</xdr:colOff>
      <xdr:row>89</xdr:row>
      <xdr:rowOff>198120</xdr:rowOff>
    </xdr:to>
    <xdr:graphicFrame>
      <xdr:nvGraphicFramePr>
        <xdr:cNvPr id="6" name="图表 5"/>
        <xdr:cNvGraphicFramePr/>
      </xdr:nvGraphicFramePr>
      <xdr:xfrm>
        <a:off x="14669770" y="23169880"/>
        <a:ext cx="11022330" cy="5097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140335</xdr:colOff>
      <xdr:row>92</xdr:row>
      <xdr:rowOff>194945</xdr:rowOff>
    </xdr:from>
    <xdr:to>
      <xdr:col>41</xdr:col>
      <xdr:colOff>506730</xdr:colOff>
      <xdr:row>109</xdr:row>
      <xdr:rowOff>207010</xdr:rowOff>
    </xdr:to>
    <xdr:graphicFrame>
      <xdr:nvGraphicFramePr>
        <xdr:cNvPr id="7" name="图表 6"/>
        <xdr:cNvGraphicFramePr/>
      </xdr:nvGraphicFramePr>
      <xdr:xfrm>
        <a:off x="15172055" y="28904565"/>
        <a:ext cx="10729595" cy="5455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147955</xdr:colOff>
      <xdr:row>111</xdr:row>
      <xdr:rowOff>200660</xdr:rowOff>
    </xdr:from>
    <xdr:to>
      <xdr:col>42</xdr:col>
      <xdr:colOff>154940</xdr:colOff>
      <xdr:row>127</xdr:row>
      <xdr:rowOff>34290</xdr:rowOff>
    </xdr:to>
    <xdr:graphicFrame>
      <xdr:nvGraphicFramePr>
        <xdr:cNvPr id="8" name="图表 7"/>
        <xdr:cNvGraphicFramePr/>
      </xdr:nvGraphicFramePr>
      <xdr:xfrm>
        <a:off x="15179675" y="34780220"/>
        <a:ext cx="10979785" cy="5063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82550</xdr:colOff>
      <xdr:row>131</xdr:row>
      <xdr:rowOff>64135</xdr:rowOff>
    </xdr:from>
    <xdr:to>
      <xdr:col>42</xdr:col>
      <xdr:colOff>262890</xdr:colOff>
      <xdr:row>146</xdr:row>
      <xdr:rowOff>39370</xdr:rowOff>
    </xdr:to>
    <xdr:graphicFrame>
      <xdr:nvGraphicFramePr>
        <xdr:cNvPr id="9" name="图表 8"/>
        <xdr:cNvGraphicFramePr/>
      </xdr:nvGraphicFramePr>
      <xdr:xfrm>
        <a:off x="15114270" y="40726995"/>
        <a:ext cx="11153140" cy="4991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24"/>
  <sheetViews>
    <sheetView showGridLines="0" zoomScale="95" zoomScaleNormal="95" workbookViewId="0">
      <selection activeCell="P5" sqref="P5"/>
    </sheetView>
  </sheetViews>
  <sheetFormatPr defaultColWidth="9" defaultRowHeight="30" customHeight="1"/>
  <cols>
    <col min="2" max="2" width="14.9423076923077" customWidth="1"/>
    <col min="3" max="14" width="13.8173076923077" customWidth="1"/>
    <col min="15" max="15" width="15.6826923076923" customWidth="1"/>
    <col min="16" max="16" width="12.9230769230769"/>
  </cols>
  <sheetData>
    <row r="1" ht="41" customHeight="1" spans="2:16">
      <c r="B1" s="99" t="s">
        <v>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</row>
    <row r="2" ht="14" customHeight="1" spans="2:16">
      <c r="B2" s="100" t="s">
        <v>1</v>
      </c>
      <c r="C2" s="101" t="s">
        <v>2</v>
      </c>
      <c r="D2" s="101" t="s">
        <v>3</v>
      </c>
      <c r="E2" s="101" t="s">
        <v>4</v>
      </c>
      <c r="F2" s="101" t="s">
        <v>5</v>
      </c>
      <c r="G2" s="101" t="s">
        <v>6</v>
      </c>
      <c r="H2" s="101" t="s">
        <v>7</v>
      </c>
      <c r="I2" s="101" t="s">
        <v>8</v>
      </c>
      <c r="J2" s="101" t="s">
        <v>9</v>
      </c>
      <c r="K2" s="101" t="s">
        <v>10</v>
      </c>
      <c r="L2" s="101" t="s">
        <v>11</v>
      </c>
      <c r="M2" s="101" t="s">
        <v>12</v>
      </c>
      <c r="N2" s="101" t="s">
        <v>13</v>
      </c>
      <c r="O2" s="123" t="s">
        <v>14</v>
      </c>
    </row>
    <row r="3" ht="17" customHeight="1" spans="2:16">
      <c r="B3" s="105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26"/>
    </row>
    <row r="4" customHeight="1" spans="2:16">
      <c r="B4" s="110" t="s">
        <v>15</v>
      </c>
      <c r="C4" s="131">
        <v>932103.3</v>
      </c>
      <c r="D4" s="131">
        <v>652349</v>
      </c>
      <c r="E4" s="131">
        <v>945464.1</v>
      </c>
      <c r="F4" s="131">
        <v>915125.2</v>
      </c>
      <c r="G4" s="131">
        <v>1027966.76</v>
      </c>
      <c r="H4" s="131">
        <v>1007880.14</v>
      </c>
      <c r="I4" s="131">
        <v>1064341.09</v>
      </c>
      <c r="J4" s="131">
        <v>1283617.3</v>
      </c>
      <c r="K4" s="131">
        <v>1121387.04</v>
      </c>
      <c r="L4" s="131">
        <v>1150757.44</v>
      </c>
      <c r="M4" s="131">
        <v>1229094.68</v>
      </c>
      <c r="N4" s="131">
        <v>1232186.09</v>
      </c>
      <c r="O4" s="151">
        <f>SUM(C4:N4)</f>
        <v>12562272.14</v>
      </c>
    </row>
    <row r="5" customHeight="1" spans="2:16">
      <c r="B5" s="110" t="s">
        <v>16</v>
      </c>
      <c r="C5" s="131">
        <v>1085927.66</v>
      </c>
      <c r="D5" s="131">
        <v>1164055.77</v>
      </c>
      <c r="E5" s="131">
        <v>1368149.78</v>
      </c>
      <c r="F5" s="131">
        <v>1425158.77</v>
      </c>
      <c r="G5" s="131">
        <v>1452103.99</v>
      </c>
      <c r="H5" s="131">
        <v>1392730.51</v>
      </c>
      <c r="I5" s="131">
        <v>1629481.24</v>
      </c>
      <c r="J5" s="131">
        <v>1619943.26</v>
      </c>
      <c r="K5" s="131">
        <v>1498782.23</v>
      </c>
      <c r="L5" s="131">
        <v>1571954.82</v>
      </c>
      <c r="M5" s="131">
        <v>1536909.31</v>
      </c>
      <c r="N5" s="131">
        <v>1757816.41</v>
      </c>
      <c r="O5" s="151">
        <f>SUM(C5:N5)</f>
        <v>17503013.75</v>
      </c>
      <c r="P5">
        <f>O5*(1+6%)</f>
        <v>18553194.575</v>
      </c>
    </row>
    <row r="6" ht="24" customHeight="1" spans="2:16">
      <c r="B6" s="650" t="s">
        <v>17</v>
      </c>
      <c r="C6" s="651">
        <f>(C5-C4)/C4</f>
        <v>0.165029305228294</v>
      </c>
      <c r="D6" s="651">
        <f t="shared" ref="D6:N6" si="0">(D5-D4)/D4</f>
        <v>0.784406460345613</v>
      </c>
      <c r="E6" s="651">
        <f t="shared" si="0"/>
        <v>0.447066874353029</v>
      </c>
      <c r="F6" s="651">
        <f t="shared" si="0"/>
        <v>0.557337476882945</v>
      </c>
      <c r="G6" s="651">
        <f t="shared" si="0"/>
        <v>0.412598195295731</v>
      </c>
      <c r="H6" s="651">
        <f t="shared" si="0"/>
        <v>0.381841406260867</v>
      </c>
      <c r="I6" s="651">
        <f t="shared" si="0"/>
        <v>0.530976540612559</v>
      </c>
      <c r="J6" s="651">
        <f t="shared" si="0"/>
        <v>0.262014200026753</v>
      </c>
      <c r="K6" s="651">
        <f t="shared" si="0"/>
        <v>0.336543206349166</v>
      </c>
      <c r="L6" s="651">
        <f t="shared" si="0"/>
        <v>0.366017516254338</v>
      </c>
      <c r="M6" s="651">
        <f t="shared" si="0"/>
        <v>0.250440128827179</v>
      </c>
      <c r="N6" s="651">
        <f>(N5-N4)/N4</f>
        <v>0.426583552813845</v>
      </c>
      <c r="O6" s="652">
        <f>(O5-O4)/O4</f>
        <v>0.393299998196027</v>
      </c>
    </row>
    <row r="7" ht="24" customHeight="1" spans="2:16">
      <c r="B7" s="653" t="s">
        <v>17</v>
      </c>
      <c r="C7" s="654">
        <f>C5-C4</f>
        <v>153824.36</v>
      </c>
      <c r="D7" s="654">
        <f t="shared" ref="D7:N7" si="1">D5-D4</f>
        <v>511706.77</v>
      </c>
      <c r="E7" s="654">
        <f t="shared" si="1"/>
        <v>422685.68</v>
      </c>
      <c r="F7" s="654">
        <f t="shared" si="1"/>
        <v>510033.57</v>
      </c>
      <c r="G7" s="654">
        <f t="shared" si="1"/>
        <v>424137.23</v>
      </c>
      <c r="H7" s="654">
        <f t="shared" si="1"/>
        <v>384850.37</v>
      </c>
      <c r="I7" s="654">
        <f t="shared" si="1"/>
        <v>565140.15</v>
      </c>
      <c r="J7" s="654">
        <f t="shared" si="1"/>
        <v>336325.96</v>
      </c>
      <c r="K7" s="654">
        <f t="shared" si="1"/>
        <v>377395.19</v>
      </c>
      <c r="L7" s="654">
        <f t="shared" si="1"/>
        <v>421197.38</v>
      </c>
      <c r="M7" s="654">
        <f t="shared" si="1"/>
        <v>307814.63</v>
      </c>
      <c r="N7" s="654">
        <f t="shared" si="1"/>
        <v>525630.32</v>
      </c>
      <c r="O7" s="655">
        <f>O5-O4</f>
        <v>4940741.61</v>
      </c>
    </row>
    <row r="8" ht="24" customHeight="1" spans="2:16">
      <c r="B8" s="656" t="s">
        <v>18</v>
      </c>
      <c r="C8" s="656"/>
      <c r="D8" s="656"/>
      <c r="E8" s="656"/>
      <c r="F8" s="656"/>
      <c r="G8" s="656"/>
      <c r="H8" s="656"/>
      <c r="I8" s="656"/>
      <c r="J8" s="656"/>
      <c r="K8" s="656"/>
      <c r="L8" s="656"/>
      <c r="M8" s="656"/>
      <c r="N8" s="656"/>
      <c r="O8" s="656"/>
    </row>
    <row r="9" ht="24" customHeight="1" spans="2:16">
      <c r="B9" s="118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</row>
    <row r="10" ht="31" customHeight="1" spans="2:16">
      <c r="B10" s="99" t="s">
        <v>19</v>
      </c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657"/>
    </row>
    <row r="11" ht="15" customHeight="1" spans="2:16">
      <c r="B11" s="100" t="s">
        <v>1</v>
      </c>
      <c r="C11" s="101" t="s">
        <v>2</v>
      </c>
      <c r="D11" s="101" t="s">
        <v>3</v>
      </c>
      <c r="E11" s="101" t="s">
        <v>4</v>
      </c>
      <c r="F11" s="101" t="s">
        <v>5</v>
      </c>
      <c r="G11" s="101" t="s">
        <v>6</v>
      </c>
      <c r="H11" s="101" t="s">
        <v>7</v>
      </c>
      <c r="I11" s="101" t="s">
        <v>8</v>
      </c>
      <c r="J11" s="101" t="s">
        <v>9</v>
      </c>
      <c r="K11" s="101" t="s">
        <v>10</v>
      </c>
      <c r="L11" s="101" t="s">
        <v>11</v>
      </c>
      <c r="M11" s="101" t="s">
        <v>12</v>
      </c>
      <c r="N11" s="101" t="s">
        <v>13</v>
      </c>
      <c r="O11" s="123" t="s">
        <v>14</v>
      </c>
    </row>
    <row r="12" ht="15" customHeight="1" spans="2:16">
      <c r="B12" s="105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26"/>
    </row>
    <row r="13" customHeight="1" spans="2:16">
      <c r="B13" s="110" t="s">
        <v>15</v>
      </c>
      <c r="C13" s="111">
        <v>92176</v>
      </c>
      <c r="D13" s="111">
        <v>60296</v>
      </c>
      <c r="E13" s="111">
        <v>93724</v>
      </c>
      <c r="F13" s="111">
        <v>91206</v>
      </c>
      <c r="G13" s="111">
        <v>92545</v>
      </c>
      <c r="H13" s="111">
        <v>84451</v>
      </c>
      <c r="I13" s="111">
        <v>96771</v>
      </c>
      <c r="J13" s="111">
        <v>116220</v>
      </c>
      <c r="K13" s="111">
        <v>105593</v>
      </c>
      <c r="L13" s="111">
        <v>106649</v>
      </c>
      <c r="M13" s="111">
        <v>117268</v>
      </c>
      <c r="N13" s="111">
        <v>118073</v>
      </c>
      <c r="O13" s="112">
        <f>SUM(C13:N13)</f>
        <v>1174972</v>
      </c>
    </row>
    <row r="14" customHeight="1" spans="2:16">
      <c r="B14" s="110" t="s">
        <v>16</v>
      </c>
      <c r="C14" s="111">
        <v>104165</v>
      </c>
      <c r="D14" s="111">
        <v>114819</v>
      </c>
      <c r="E14" s="111">
        <v>134817</v>
      </c>
      <c r="F14" s="111">
        <v>140245</v>
      </c>
      <c r="G14" s="111">
        <v>142720</v>
      </c>
      <c r="H14" s="111">
        <v>134878</v>
      </c>
      <c r="I14" s="111">
        <v>156641</v>
      </c>
      <c r="J14" s="111">
        <v>153857</v>
      </c>
      <c r="K14" s="111">
        <v>146132</v>
      </c>
      <c r="L14" s="111">
        <v>146849</v>
      </c>
      <c r="M14" s="111">
        <v>144105</v>
      </c>
      <c r="N14" s="111">
        <v>162112</v>
      </c>
      <c r="O14" s="112">
        <f>SUM(C14:N14)</f>
        <v>1681340</v>
      </c>
    </row>
    <row r="15" customFormat="1" ht="24" customHeight="1" spans="2:16">
      <c r="B15" s="650" t="s">
        <v>17</v>
      </c>
      <c r="C15" s="651">
        <f t="shared" ref="C15:O15" si="2">(C14-C13)/C13</f>
        <v>0.130066394723138</v>
      </c>
      <c r="D15" s="651">
        <f t="shared" si="2"/>
        <v>0.904255672018044</v>
      </c>
      <c r="E15" s="651">
        <f t="shared" si="2"/>
        <v>0.438446929281721</v>
      </c>
      <c r="F15" s="651">
        <f t="shared" si="2"/>
        <v>0.537672960112273</v>
      </c>
      <c r="G15" s="651">
        <f t="shared" si="2"/>
        <v>0.542168674698795</v>
      </c>
      <c r="H15" s="651">
        <f t="shared" si="2"/>
        <v>0.597115487087187</v>
      </c>
      <c r="I15" s="651">
        <f t="shared" si="2"/>
        <v>0.618677083010406</v>
      </c>
      <c r="J15" s="651">
        <f t="shared" si="2"/>
        <v>0.323842712097746</v>
      </c>
      <c r="K15" s="651">
        <f t="shared" si="2"/>
        <v>0.383917494530887</v>
      </c>
      <c r="L15" s="651">
        <f t="shared" si="2"/>
        <v>0.376937430261887</v>
      </c>
      <c r="M15" s="651">
        <f t="shared" si="2"/>
        <v>0.22885186069516</v>
      </c>
      <c r="N15" s="651">
        <f t="shared" si="2"/>
        <v>0.372981121848348</v>
      </c>
      <c r="O15" s="652">
        <f>(O14-O13)/O13</f>
        <v>0.430961759088727</v>
      </c>
    </row>
    <row r="16" customFormat="1" ht="24" customHeight="1" spans="2:16">
      <c r="B16" s="653" t="s">
        <v>17</v>
      </c>
      <c r="C16" s="654">
        <f t="shared" ref="C16:O16" si="3">C14-C13</f>
        <v>11989</v>
      </c>
      <c r="D16" s="654">
        <f t="shared" si="3"/>
        <v>54523</v>
      </c>
      <c r="E16" s="654">
        <f t="shared" si="3"/>
        <v>41093</v>
      </c>
      <c r="F16" s="654">
        <f t="shared" si="3"/>
        <v>49039</v>
      </c>
      <c r="G16" s="654">
        <f t="shared" si="3"/>
        <v>50175</v>
      </c>
      <c r="H16" s="654">
        <f t="shared" si="3"/>
        <v>50427</v>
      </c>
      <c r="I16" s="654">
        <f t="shared" si="3"/>
        <v>59870</v>
      </c>
      <c r="J16" s="654">
        <f t="shared" si="3"/>
        <v>37637</v>
      </c>
      <c r="K16" s="654">
        <f t="shared" si="3"/>
        <v>40539</v>
      </c>
      <c r="L16" s="654">
        <f t="shared" si="3"/>
        <v>40200</v>
      </c>
      <c r="M16" s="654">
        <f t="shared" si="3"/>
        <v>26837</v>
      </c>
      <c r="N16" s="654">
        <f t="shared" si="3"/>
        <v>44039</v>
      </c>
      <c r="O16" s="655">
        <f t="shared" si="3"/>
        <v>506368</v>
      </c>
    </row>
    <row r="18" ht="39" customHeight="1" spans="2:17">
      <c r="B18" s="99" t="s">
        <v>20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</row>
    <row r="19" ht="18" customHeight="1" spans="2:17">
      <c r="B19" s="100" t="s">
        <v>1</v>
      </c>
      <c r="C19" s="101" t="s">
        <v>2</v>
      </c>
      <c r="D19" s="101" t="s">
        <v>3</v>
      </c>
      <c r="E19" s="101" t="s">
        <v>4</v>
      </c>
      <c r="F19" s="101" t="s">
        <v>5</v>
      </c>
      <c r="G19" s="101" t="s">
        <v>6</v>
      </c>
      <c r="H19" s="101" t="s">
        <v>7</v>
      </c>
      <c r="I19" s="101" t="s">
        <v>8</v>
      </c>
      <c r="J19" s="101" t="s">
        <v>9</v>
      </c>
      <c r="K19" s="101" t="s">
        <v>10</v>
      </c>
      <c r="L19" s="101" t="s">
        <v>11</v>
      </c>
      <c r="M19" s="101" t="s">
        <v>12</v>
      </c>
      <c r="N19" s="101" t="s">
        <v>13</v>
      </c>
      <c r="O19" s="123" t="s">
        <v>21</v>
      </c>
    </row>
    <row r="20" ht="22" customHeight="1" spans="2:17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26"/>
    </row>
    <row r="21" customHeight="1" spans="2:17">
      <c r="B21" s="110" t="s">
        <v>15</v>
      </c>
      <c r="C21" s="131">
        <f>C4/C13</f>
        <v>10.1122125065093</v>
      </c>
      <c r="D21" s="131">
        <f t="shared" ref="D21:N21" si="4">D4/D13</f>
        <v>10.819109061961</v>
      </c>
      <c r="E21" s="131">
        <f t="shared" si="4"/>
        <v>10.0877480687977</v>
      </c>
      <c r="F21" s="131">
        <f t="shared" si="4"/>
        <v>10.0336074381071</v>
      </c>
      <c r="G21" s="131">
        <f t="shared" si="4"/>
        <v>11.1077503917013</v>
      </c>
      <c r="H21" s="131">
        <f>H4/H13</f>
        <v>11.9344962167411</v>
      </c>
      <c r="I21" s="131">
        <f t="shared" si="4"/>
        <v>10.9985542156224</v>
      </c>
      <c r="J21" s="131">
        <f t="shared" si="4"/>
        <v>11.0447194975047</v>
      </c>
      <c r="K21" s="131">
        <f t="shared" si="4"/>
        <v>10.6198994251513</v>
      </c>
      <c r="L21" s="131">
        <f t="shared" si="4"/>
        <v>10.7901381166256</v>
      </c>
      <c r="M21" s="131">
        <f t="shared" si="4"/>
        <v>10.4810748030153</v>
      </c>
      <c r="N21" s="131">
        <f t="shared" si="4"/>
        <v>10.4357989548838</v>
      </c>
      <c r="O21" s="151">
        <f>AVERAGE(C21:N21)</f>
        <v>10.7054257247184</v>
      </c>
      <c r="P21" s="134"/>
      <c r="Q21" s="134"/>
    </row>
    <row r="22" customHeight="1" spans="2:17">
      <c r="B22" s="110" t="s">
        <v>16</v>
      </c>
      <c r="C22" s="131">
        <f>C5/C14</f>
        <v>10.4250723371574</v>
      </c>
      <c r="D22" s="131">
        <f t="shared" ref="D22:N22" si="5">D5/D14</f>
        <v>10.1381807018002</v>
      </c>
      <c r="E22" s="131">
        <f t="shared" si="5"/>
        <v>10.1481992627043</v>
      </c>
      <c r="F22" s="131">
        <f t="shared" si="5"/>
        <v>10.1619221362615</v>
      </c>
      <c r="G22" s="131">
        <f t="shared" si="5"/>
        <v>10.1744954456278</v>
      </c>
      <c r="H22" s="131">
        <f t="shared" si="5"/>
        <v>10.3258538086271</v>
      </c>
      <c r="I22" s="131">
        <f t="shared" si="5"/>
        <v>10.402648348772</v>
      </c>
      <c r="J22" s="131">
        <f t="shared" si="5"/>
        <v>10.5288889033323</v>
      </c>
      <c r="K22" s="131">
        <f t="shared" si="5"/>
        <v>10.2563588399529</v>
      </c>
      <c r="L22" s="131">
        <f t="shared" si="5"/>
        <v>10.7045660508413</v>
      </c>
      <c r="M22" s="131">
        <f t="shared" si="5"/>
        <v>10.6652046077513</v>
      </c>
      <c r="N22" s="131">
        <f t="shared" si="5"/>
        <v>10.8432220316818</v>
      </c>
      <c r="O22" s="151">
        <f>AVERAGE(C22:N22)</f>
        <v>10.3978843728758</v>
      </c>
      <c r="P22" s="134"/>
      <c r="Q22" s="134"/>
    </row>
    <row r="23" customFormat="1" ht="24" customHeight="1" spans="2:17">
      <c r="B23" s="650" t="s">
        <v>17</v>
      </c>
      <c r="C23" s="651">
        <f t="shared" ref="C23:O23" si="6">(C22-C21)/C21</f>
        <v>0.0309388109127175</v>
      </c>
      <c r="D23" s="651">
        <f t="shared" si="6"/>
        <v>-0.0629375631820599</v>
      </c>
      <c r="E23" s="651">
        <f t="shared" si="6"/>
        <v>0.00599253604414382</v>
      </c>
      <c r="F23" s="651">
        <f t="shared" si="6"/>
        <v>0.0127884909735526</v>
      </c>
      <c r="G23" s="651">
        <f t="shared" si="6"/>
        <v>-0.0840183577379242</v>
      </c>
      <c r="H23" s="651">
        <f t="shared" si="6"/>
        <v>-0.134789301441773</v>
      </c>
      <c r="I23" s="651">
        <f t="shared" si="6"/>
        <v>-0.0541803818181835</v>
      </c>
      <c r="J23" s="651">
        <f t="shared" si="6"/>
        <v>-0.0467038202544624</v>
      </c>
      <c r="K23" s="651">
        <f t="shared" si="6"/>
        <v>-0.0342320177098279</v>
      </c>
      <c r="L23" s="651">
        <f t="shared" si="6"/>
        <v>-0.00793058113430214</v>
      </c>
      <c r="M23" s="651">
        <f t="shared" si="6"/>
        <v>0.0175678361424351</v>
      </c>
      <c r="N23" s="651">
        <f t="shared" si="6"/>
        <v>0.0390409089480673</v>
      </c>
      <c r="O23" s="652">
        <f t="shared" si="6"/>
        <v>-0.0287276153000122</v>
      </c>
    </row>
    <row r="24" customFormat="1" ht="24" customHeight="1" spans="2:17">
      <c r="B24" s="653" t="s">
        <v>17</v>
      </c>
      <c r="C24" s="658">
        <f t="shared" ref="C24:O24" si="7">C22-C21</f>
        <v>0.312859830648108</v>
      </c>
      <c r="D24" s="658">
        <f t="shared" si="7"/>
        <v>-0.680928360160767</v>
      </c>
      <c r="E24" s="658">
        <f t="shared" si="7"/>
        <v>0.0604511939065127</v>
      </c>
      <c r="F24" s="658">
        <f t="shared" si="7"/>
        <v>0.128314698154403</v>
      </c>
      <c r="G24" s="658">
        <f t="shared" si="7"/>
        <v>-0.93325494607353</v>
      </c>
      <c r="H24" s="658">
        <f t="shared" si="7"/>
        <v>-1.60864240811401</v>
      </c>
      <c r="I24" s="658">
        <f t="shared" si="7"/>
        <v>-0.595905866850416</v>
      </c>
      <c r="J24" s="658">
        <f t="shared" si="7"/>
        <v>-0.515830594172417</v>
      </c>
      <c r="K24" s="658">
        <f t="shared" si="7"/>
        <v>-0.36354058519837</v>
      </c>
      <c r="L24" s="658">
        <f t="shared" si="7"/>
        <v>-0.0855720657842252</v>
      </c>
      <c r="M24" s="658">
        <f t="shared" si="7"/>
        <v>0.184129804735978</v>
      </c>
      <c r="N24" s="658">
        <f t="shared" si="7"/>
        <v>0.407423076797956</v>
      </c>
      <c r="O24" s="659">
        <f t="shared" si="7"/>
        <v>-0.307541351842564</v>
      </c>
    </row>
  </sheetData>
  <mergeCells count="46">
    <mergeCell ref="B1:O1"/>
    <mergeCell ref="B8:O8"/>
    <mergeCell ref="B10:O10"/>
    <mergeCell ref="B18:O18"/>
    <mergeCell ref="B2:B3"/>
    <mergeCell ref="B11:B12"/>
    <mergeCell ref="B19:B20"/>
    <mergeCell ref="C2:C3"/>
    <mergeCell ref="C11:C12"/>
    <mergeCell ref="C19:C20"/>
    <mergeCell ref="D2:D3"/>
    <mergeCell ref="D11:D12"/>
    <mergeCell ref="D19:D20"/>
    <mergeCell ref="E2:E3"/>
    <mergeCell ref="E11:E12"/>
    <mergeCell ref="E19:E20"/>
    <mergeCell ref="F2:F3"/>
    <mergeCell ref="F11:F12"/>
    <mergeCell ref="F19:F20"/>
    <mergeCell ref="G2:G3"/>
    <mergeCell ref="G11:G12"/>
    <mergeCell ref="G19:G20"/>
    <mergeCell ref="H2:H3"/>
    <mergeCell ref="H11:H12"/>
    <mergeCell ref="H19:H20"/>
    <mergeCell ref="I2:I3"/>
    <mergeCell ref="I11:I12"/>
    <mergeCell ref="I19:I20"/>
    <mergeCell ref="J2:J3"/>
    <mergeCell ref="J11:J12"/>
    <mergeCell ref="J19:J20"/>
    <mergeCell ref="K2:K3"/>
    <mergeCell ref="K11:K12"/>
    <mergeCell ref="K19:K20"/>
    <mergeCell ref="L2:L3"/>
    <mergeCell ref="L11:L12"/>
    <mergeCell ref="L19:L20"/>
    <mergeCell ref="M2:M3"/>
    <mergeCell ref="M11:M12"/>
    <mergeCell ref="M19:M20"/>
    <mergeCell ref="N2:N3"/>
    <mergeCell ref="N11:N12"/>
    <mergeCell ref="N19:N20"/>
    <mergeCell ref="O2:O3"/>
    <mergeCell ref="O11:O12"/>
    <mergeCell ref="O19:O20"/>
  </mergeCell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R30"/>
  <sheetViews>
    <sheetView showGridLines="0" zoomScale="80" zoomScaleNormal="80" workbookViewId="0">
      <selection activeCell="A5" sqref="$A5:$XFD5"/>
    </sheetView>
  </sheetViews>
  <sheetFormatPr defaultColWidth="9" defaultRowHeight="25" customHeight="1"/>
  <cols>
    <col min="1" max="1" width="9" style="494"/>
    <col min="2" max="2" width="17.4230769230769" style="494" customWidth="1"/>
    <col min="3" max="14" width="14.0096153846154" style="494" customWidth="1"/>
    <col min="15" max="15" width="14.8269230769231" style="494" customWidth="1"/>
    <col min="16" max="16" width="13.0865384615385" style="494" hidden="1" customWidth="1"/>
    <col min="17" max="18" width="7.66346153846154" style="494" hidden="1" customWidth="1"/>
    <col min="19" max="19" width="14.8942307692308" style="494" hidden="1" customWidth="1"/>
    <col min="20" max="20" width="19.4038461538462" style="498" hidden="1" customWidth="1"/>
    <col min="21" max="21" width="17.625" style="498" customWidth="1"/>
    <col min="22" max="22" width="17.625" style="494" customWidth="1"/>
    <col min="23" max="26" width="12.2211538461538" style="494" customWidth="1"/>
    <col min="27" max="34" width="14.4230769230769" style="494" customWidth="1"/>
    <col min="35" max="35" width="15.8269230769231" style="494" customWidth="1"/>
    <col min="36" max="38" width="9" style="494"/>
    <col min="39" max="39" width="17.625" style="494" customWidth="1"/>
    <col min="40" max="52" width="12.2211538461538" style="494" customWidth="1"/>
    <col min="53" max="56" width="9" style="494"/>
    <col min="57" max="57" width="17.625" style="494" customWidth="1"/>
    <col min="58" max="70" width="12.2211538461538" style="494" customWidth="1"/>
    <col min="71" max="16384" width="9" style="494"/>
  </cols>
  <sheetData>
    <row r="1" customHeight="1" spans="2:70"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9"/>
    </row>
    <row r="2" customHeight="1" spans="2:70">
      <c r="B2" s="570" t="s">
        <v>22</v>
      </c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570"/>
      <c r="U2" s="571"/>
      <c r="V2" s="570" t="s">
        <v>23</v>
      </c>
      <c r="W2" s="570"/>
      <c r="X2" s="570"/>
      <c r="Y2" s="570"/>
      <c r="Z2" s="570"/>
      <c r="AA2" s="570"/>
      <c r="AB2" s="570"/>
      <c r="AC2" s="570"/>
      <c r="AD2" s="570"/>
      <c r="AE2" s="570"/>
      <c r="AF2" s="570"/>
      <c r="AG2" s="570"/>
      <c r="AH2" s="570"/>
      <c r="AI2" s="570"/>
      <c r="AM2" s="570" t="s">
        <v>24</v>
      </c>
      <c r="AN2" s="570"/>
      <c r="AO2" s="570"/>
      <c r="AP2" s="570"/>
      <c r="AQ2" s="570"/>
      <c r="AR2" s="570"/>
      <c r="AS2" s="570"/>
      <c r="AT2" s="570"/>
      <c r="AU2" s="570"/>
      <c r="AV2" s="570"/>
      <c r="AW2" s="570"/>
      <c r="AX2" s="570"/>
      <c r="AY2" s="570"/>
      <c r="AZ2" s="570"/>
      <c r="BE2" s="570" t="s">
        <v>25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0"/>
      <c r="BP2" s="570"/>
      <c r="BQ2" s="570"/>
      <c r="BR2" s="570"/>
    </row>
    <row r="3" ht="16" customHeight="1" spans="2:70">
      <c r="B3" s="572" t="s">
        <v>26</v>
      </c>
      <c r="C3" s="573" t="s">
        <v>2</v>
      </c>
      <c r="D3" s="573" t="s">
        <v>3</v>
      </c>
      <c r="E3" s="573" t="s">
        <v>4</v>
      </c>
      <c r="F3" s="573" t="s">
        <v>5</v>
      </c>
      <c r="G3" s="573" t="s">
        <v>6</v>
      </c>
      <c r="H3" s="573" t="s">
        <v>7</v>
      </c>
      <c r="I3" s="573" t="s">
        <v>8</v>
      </c>
      <c r="J3" s="573" t="s">
        <v>9</v>
      </c>
      <c r="K3" s="573" t="s">
        <v>10</v>
      </c>
      <c r="L3" s="573" t="s">
        <v>11</v>
      </c>
      <c r="M3" s="573" t="s">
        <v>12</v>
      </c>
      <c r="N3" s="573" t="s">
        <v>13</v>
      </c>
      <c r="O3" s="574" t="s">
        <v>14</v>
      </c>
      <c r="P3" s="575" t="s">
        <v>27</v>
      </c>
      <c r="Q3" s="573" t="s">
        <v>28</v>
      </c>
      <c r="R3" s="573"/>
      <c r="S3" s="576" t="s">
        <v>29</v>
      </c>
      <c r="T3" s="577" t="s">
        <v>30</v>
      </c>
      <c r="U3" s="578" t="s">
        <v>31</v>
      </c>
      <c r="V3" s="579" t="s">
        <v>26</v>
      </c>
      <c r="W3" s="580" t="s">
        <v>2</v>
      </c>
      <c r="X3" s="580" t="s">
        <v>3</v>
      </c>
      <c r="Y3" s="580" t="s">
        <v>4</v>
      </c>
      <c r="Z3" s="580" t="s">
        <v>5</v>
      </c>
      <c r="AA3" s="580" t="s">
        <v>6</v>
      </c>
      <c r="AB3" s="580" t="s">
        <v>7</v>
      </c>
      <c r="AC3" s="580" t="s">
        <v>8</v>
      </c>
      <c r="AD3" s="580" t="s">
        <v>9</v>
      </c>
      <c r="AE3" s="580" t="s">
        <v>10</v>
      </c>
      <c r="AF3" s="580" t="s">
        <v>11</v>
      </c>
      <c r="AG3" s="580" t="s">
        <v>12</v>
      </c>
      <c r="AH3" s="580" t="s">
        <v>13</v>
      </c>
      <c r="AI3" s="581" t="s">
        <v>14</v>
      </c>
      <c r="AM3" s="579" t="s">
        <v>26</v>
      </c>
      <c r="AN3" s="580" t="s">
        <v>2</v>
      </c>
      <c r="AO3" s="580" t="s">
        <v>3</v>
      </c>
      <c r="AP3" s="580" t="s">
        <v>4</v>
      </c>
      <c r="AQ3" s="580" t="s">
        <v>5</v>
      </c>
      <c r="AR3" s="580" t="s">
        <v>6</v>
      </c>
      <c r="AS3" s="580" t="s">
        <v>7</v>
      </c>
      <c r="AT3" s="580" t="s">
        <v>8</v>
      </c>
      <c r="AU3" s="580" t="s">
        <v>9</v>
      </c>
      <c r="AV3" s="580" t="s">
        <v>10</v>
      </c>
      <c r="AW3" s="580" t="s">
        <v>11</v>
      </c>
      <c r="AX3" s="580" t="s">
        <v>12</v>
      </c>
      <c r="AY3" s="580" t="s">
        <v>13</v>
      </c>
      <c r="AZ3" s="581" t="s">
        <v>14</v>
      </c>
      <c r="BE3" s="582" t="s">
        <v>26</v>
      </c>
      <c r="BF3" s="580" t="s">
        <v>2</v>
      </c>
      <c r="BG3" s="580" t="s">
        <v>3</v>
      </c>
      <c r="BH3" s="580" t="s">
        <v>4</v>
      </c>
      <c r="BI3" s="580" t="s">
        <v>5</v>
      </c>
      <c r="BJ3" s="580" t="s">
        <v>6</v>
      </c>
      <c r="BK3" s="580" t="s">
        <v>7</v>
      </c>
      <c r="BL3" s="580" t="s">
        <v>8</v>
      </c>
      <c r="BM3" s="580" t="s">
        <v>9</v>
      </c>
      <c r="BN3" s="580" t="s">
        <v>10</v>
      </c>
      <c r="BO3" s="580" t="s">
        <v>11</v>
      </c>
      <c r="BP3" s="580" t="s">
        <v>12</v>
      </c>
      <c r="BQ3" s="580" t="s">
        <v>13</v>
      </c>
      <c r="BR3" s="581" t="s">
        <v>14</v>
      </c>
    </row>
    <row r="4" ht="23" customHeight="1" spans="2:70">
      <c r="B4" s="583"/>
      <c r="C4" s="584"/>
      <c r="D4" s="584"/>
      <c r="E4" s="584"/>
      <c r="F4" s="584"/>
      <c r="G4" s="584"/>
      <c r="H4" s="584"/>
      <c r="I4" s="584"/>
      <c r="J4" s="584"/>
      <c r="K4" s="584"/>
      <c r="L4" s="584"/>
      <c r="M4" s="584"/>
      <c r="N4" s="584"/>
      <c r="O4" s="585"/>
      <c r="P4" s="586"/>
      <c r="Q4" s="584"/>
      <c r="R4" s="584"/>
      <c r="S4" s="587"/>
      <c r="T4" s="588"/>
      <c r="U4" s="578"/>
      <c r="V4" s="589"/>
      <c r="W4" s="590"/>
      <c r="X4" s="590"/>
      <c r="Y4" s="590"/>
      <c r="Z4" s="590"/>
      <c r="AA4" s="590"/>
      <c r="AB4" s="590"/>
      <c r="AC4" s="590"/>
      <c r="AD4" s="590"/>
      <c r="AE4" s="590"/>
      <c r="AF4" s="590"/>
      <c r="AG4" s="590"/>
      <c r="AH4" s="590"/>
      <c r="AI4" s="591"/>
      <c r="AM4" s="589"/>
      <c r="AN4" s="590"/>
      <c r="AO4" s="590"/>
      <c r="AP4" s="590"/>
      <c r="AQ4" s="590"/>
      <c r="AR4" s="590"/>
      <c r="AS4" s="590"/>
      <c r="AT4" s="590"/>
      <c r="AU4" s="590"/>
      <c r="AV4" s="590"/>
      <c r="AW4" s="590"/>
      <c r="AX4" s="590"/>
      <c r="AY4" s="590"/>
      <c r="AZ4" s="591"/>
      <c r="BE4" s="592"/>
      <c r="BF4" s="590"/>
      <c r="BG4" s="590"/>
      <c r="BH4" s="590"/>
      <c r="BI4" s="590"/>
      <c r="BJ4" s="590"/>
      <c r="BK4" s="590"/>
      <c r="BL4" s="590"/>
      <c r="BM4" s="590"/>
      <c r="BN4" s="590"/>
      <c r="BO4" s="590"/>
      <c r="BP4" s="590"/>
      <c r="BQ4" s="590"/>
      <c r="BR4" s="591"/>
    </row>
    <row r="5" customHeight="1" spans="2:70">
      <c r="B5" s="519" t="s">
        <v>32</v>
      </c>
      <c r="C5" s="593">
        <v>11.681857</v>
      </c>
      <c r="D5" s="593">
        <v>11.45976</v>
      </c>
      <c r="E5" s="593">
        <v>12.30345</v>
      </c>
      <c r="F5" s="593">
        <v>12.014886</v>
      </c>
      <c r="G5" s="593">
        <v>12.863619</v>
      </c>
      <c r="H5" s="593">
        <v>10.867187</v>
      </c>
      <c r="I5" s="593">
        <v>13.239522</v>
      </c>
      <c r="J5" s="593">
        <v>11.106115</v>
      </c>
      <c r="K5" s="593">
        <v>10.347582</v>
      </c>
      <c r="L5" s="593">
        <v>10.414614</v>
      </c>
      <c r="M5" s="593">
        <v>11.215678</v>
      </c>
      <c r="N5" s="593">
        <v>14.90469</v>
      </c>
      <c r="O5" s="523">
        <f>SUM(C5:N5)</f>
        <v>142.41896</v>
      </c>
      <c r="P5" s="514">
        <f>M5/30</f>
        <v>0.373855933333333</v>
      </c>
      <c r="Q5" s="512">
        <f>N5/31</f>
        <v>0.480796451612903</v>
      </c>
      <c r="R5" s="512"/>
      <c r="S5" s="594">
        <f>Q5-P5</f>
        <v>0.10694051827957</v>
      </c>
      <c r="T5" s="595">
        <f>N5/31-AH5/31</f>
        <v>0.0924593548387097</v>
      </c>
      <c r="U5" s="596">
        <f>O5-AI5</f>
        <v>-9.63210000000001</v>
      </c>
      <c r="V5" s="519" t="s">
        <v>32</v>
      </c>
      <c r="W5" s="597">
        <v>14.4085</v>
      </c>
      <c r="X5" s="597">
        <v>9.62105</v>
      </c>
      <c r="Y5" s="597">
        <v>14.78021</v>
      </c>
      <c r="Z5" s="597">
        <v>13.0491</v>
      </c>
      <c r="AA5" s="597">
        <v>13.4138</v>
      </c>
      <c r="AB5" s="597">
        <v>12.2205</v>
      </c>
      <c r="AC5" s="597">
        <v>15.50465</v>
      </c>
      <c r="AD5" s="597">
        <v>11.93295</v>
      </c>
      <c r="AE5" s="597">
        <v>11.21795</v>
      </c>
      <c r="AF5" s="597">
        <v>11.69975</v>
      </c>
      <c r="AG5" s="597">
        <v>12.16415</v>
      </c>
      <c r="AH5" s="597">
        <v>12.03845</v>
      </c>
      <c r="AI5" s="523">
        <f>SUM(W5:AH5)</f>
        <v>152.05106</v>
      </c>
      <c r="AM5" s="519" t="s">
        <v>32</v>
      </c>
      <c r="AN5" s="598">
        <f>(C5-W5)/W5</f>
        <v>-0.189238505049103</v>
      </c>
      <c r="AO5" s="598">
        <f t="shared" ref="AO5:AY5" si="0">(D5-X5)/X5</f>
        <v>0.191113236081301</v>
      </c>
      <c r="AP5" s="598">
        <f t="shared" si="0"/>
        <v>-0.167572720549979</v>
      </c>
      <c r="AQ5" s="598">
        <f t="shared" si="0"/>
        <v>-0.0792555808446559</v>
      </c>
      <c r="AR5" s="598">
        <f t="shared" si="0"/>
        <v>-0.0410160431794123</v>
      </c>
      <c r="AS5" s="598">
        <f t="shared" si="0"/>
        <v>-0.110741213534634</v>
      </c>
      <c r="AT5" s="598">
        <f t="shared" si="0"/>
        <v>-0.146093462283895</v>
      </c>
      <c r="AU5" s="598">
        <f t="shared" si="0"/>
        <v>-0.0692900749605086</v>
      </c>
      <c r="AV5" s="599">
        <f t="shared" si="0"/>
        <v>-0.0775870814186192</v>
      </c>
      <c r="AW5" s="599">
        <f t="shared" si="0"/>
        <v>-0.109843030833992</v>
      </c>
      <c r="AX5" s="599">
        <f t="shared" si="0"/>
        <v>-0.0779727313457988</v>
      </c>
      <c r="AY5" s="599">
        <f>(N5-AH5)/AH5</f>
        <v>0.238090451843884</v>
      </c>
      <c r="AZ5" s="600">
        <f>(O5-AI5)/AI5</f>
        <v>-0.0633477990880169</v>
      </c>
      <c r="BE5" s="601" t="s">
        <v>32</v>
      </c>
      <c r="BF5" s="520">
        <f t="shared" ref="BF5:BF10" si="1">(C5-W5)/31</f>
        <v>-0.0879562258064516</v>
      </c>
      <c r="BG5" s="520">
        <f t="shared" ref="BG5:BG10" si="2">(D5-X5)/28</f>
        <v>0.0656682142857143</v>
      </c>
      <c r="BH5" s="520">
        <f t="shared" ref="BH5:BH10" si="3">(E5-Y5)/31</f>
        <v>-0.0798954838709678</v>
      </c>
      <c r="BI5" s="520">
        <f t="shared" ref="BI5:BI10" si="4">(F5-Z5)/30</f>
        <v>-0.0344738</v>
      </c>
      <c r="BJ5" s="520">
        <f t="shared" ref="BJ5:BJ10" si="5">(G5-AA5)/31</f>
        <v>-0.0177477741935484</v>
      </c>
      <c r="BK5" s="520">
        <f t="shared" ref="BK5:BK10" si="6">(H5-AB5)/30</f>
        <v>-0.0451104333333333</v>
      </c>
      <c r="BL5" s="520">
        <f t="shared" ref="BL5:BL10" si="7">(I5-AC5)/31</f>
        <v>-0.0730686451612903</v>
      </c>
      <c r="BM5" s="520">
        <f t="shared" ref="BM5:BM10" si="8">(J5-AD5)/31</f>
        <v>-0.0266720967741936</v>
      </c>
      <c r="BN5" s="520">
        <f t="shared" ref="BN5:BN10" si="9">(K5-AE5)/30</f>
        <v>-0.0290122666666666</v>
      </c>
      <c r="BO5" s="520">
        <f>L5-AF5</f>
        <v>-1.285136</v>
      </c>
      <c r="BP5" s="520">
        <f t="shared" ref="BP5:BP10" si="10">M5-AG5</f>
        <v>-0.948471999999999</v>
      </c>
      <c r="BQ5" s="520">
        <f>N5-AH5</f>
        <v>2.86624</v>
      </c>
      <c r="BR5" s="602">
        <f>O5-AI5</f>
        <v>-9.63210000000001</v>
      </c>
    </row>
    <row r="6" customHeight="1" spans="2:70">
      <c r="B6" s="519" t="s">
        <v>33</v>
      </c>
      <c r="C6" s="593">
        <v>11.04901</v>
      </c>
      <c r="D6" s="593">
        <v>11.299986</v>
      </c>
      <c r="E6" s="593">
        <v>13.568962</v>
      </c>
      <c r="F6" s="593">
        <v>13.781852</v>
      </c>
      <c r="G6" s="593">
        <v>14.400119</v>
      </c>
      <c r="H6" s="593">
        <v>12.564223</v>
      </c>
      <c r="I6" s="593">
        <v>15.061661</v>
      </c>
      <c r="J6" s="593">
        <v>15.791372</v>
      </c>
      <c r="K6" s="593">
        <v>13.568442</v>
      </c>
      <c r="L6" s="593">
        <v>14.959915</v>
      </c>
      <c r="M6" s="593">
        <v>15.90785</v>
      </c>
      <c r="N6" s="593">
        <v>17.742376</v>
      </c>
      <c r="O6" s="523">
        <f>SUM(C6:N6)</f>
        <v>169.695768</v>
      </c>
      <c r="P6" s="514">
        <f>M6/30</f>
        <v>0.530261666666667</v>
      </c>
      <c r="Q6" s="512">
        <f>N6/31</f>
        <v>0.572334709677419</v>
      </c>
      <c r="R6" s="512"/>
      <c r="S6" s="594">
        <f>Q6-P6</f>
        <v>0.0420730430107528</v>
      </c>
      <c r="T6" s="595">
        <f>N6/31-AH6/31</f>
        <v>0.159154064516129</v>
      </c>
      <c r="U6" s="596">
        <f>O6-AI6</f>
        <v>5.12236800000002</v>
      </c>
      <c r="V6" s="519" t="s">
        <v>33</v>
      </c>
      <c r="W6" s="597">
        <v>14.3526</v>
      </c>
      <c r="X6" s="597">
        <v>9.91865</v>
      </c>
      <c r="Y6" s="597">
        <v>14.92015</v>
      </c>
      <c r="Z6" s="597">
        <v>14.6463</v>
      </c>
      <c r="AA6" s="597">
        <v>14.6682</v>
      </c>
      <c r="AB6" s="597">
        <v>13.5356</v>
      </c>
      <c r="AC6" s="597">
        <v>16.11855</v>
      </c>
      <c r="AD6" s="597">
        <v>14.63585</v>
      </c>
      <c r="AE6" s="597">
        <v>12.81485</v>
      </c>
      <c r="AF6" s="597">
        <v>13.34445</v>
      </c>
      <c r="AG6" s="597">
        <v>12.8096</v>
      </c>
      <c r="AH6" s="597">
        <v>12.8086</v>
      </c>
      <c r="AI6" s="523">
        <f>SUM(W6:AH6)</f>
        <v>164.5734</v>
      </c>
      <c r="AM6" s="519" t="s">
        <v>33</v>
      </c>
      <c r="AN6" s="598">
        <f t="shared" ref="AN6:AX6" si="11">(C6-W6)/W6</f>
        <v>-0.230173627078021</v>
      </c>
      <c r="AO6" s="598">
        <f t="shared" si="11"/>
        <v>0.139266533247972</v>
      </c>
      <c r="AP6" s="603">
        <f t="shared" si="11"/>
        <v>-0.0905612879227086</v>
      </c>
      <c r="AQ6" s="603">
        <f t="shared" si="11"/>
        <v>-0.0590215958979402</v>
      </c>
      <c r="AR6" s="603">
        <f t="shared" si="11"/>
        <v>-0.0182763392918013</v>
      </c>
      <c r="AS6" s="603">
        <f t="shared" si="11"/>
        <v>-0.0717646059280712</v>
      </c>
      <c r="AT6" s="603">
        <f t="shared" si="11"/>
        <v>-0.0655697317686765</v>
      </c>
      <c r="AU6" s="604">
        <f t="shared" si="11"/>
        <v>0.0789514787320177</v>
      </c>
      <c r="AV6" s="604">
        <f t="shared" si="11"/>
        <v>0.058806150676754</v>
      </c>
      <c r="AW6" s="604">
        <f t="shared" si="11"/>
        <v>0.121058942107018</v>
      </c>
      <c r="AX6" s="604">
        <f t="shared" si="11"/>
        <v>0.241869379215588</v>
      </c>
      <c r="AY6" s="604">
        <f>(N6-AH6)/AH6</f>
        <v>0.385192448823447</v>
      </c>
      <c r="AZ6" s="148">
        <f>(O6-AI6)/AI6</f>
        <v>0.0311251271469145</v>
      </c>
      <c r="BE6" s="601" t="s">
        <v>33</v>
      </c>
      <c r="BF6" s="520">
        <f t="shared" si="1"/>
        <v>-0.106567419354839</v>
      </c>
      <c r="BG6" s="520">
        <f t="shared" si="2"/>
        <v>0.0493334285714286</v>
      </c>
      <c r="BH6" s="520">
        <f t="shared" si="3"/>
        <v>-0.0435867096774194</v>
      </c>
      <c r="BI6" s="520">
        <f t="shared" si="4"/>
        <v>-0.0288149333333334</v>
      </c>
      <c r="BJ6" s="520">
        <f t="shared" si="5"/>
        <v>-0.0086477741935484</v>
      </c>
      <c r="BK6" s="520">
        <f t="shared" si="6"/>
        <v>-0.0323792333333333</v>
      </c>
      <c r="BL6" s="520">
        <f t="shared" si="7"/>
        <v>-0.0340931935483871</v>
      </c>
      <c r="BM6" s="520">
        <f t="shared" si="8"/>
        <v>0.0372749032258065</v>
      </c>
      <c r="BN6" s="520">
        <f t="shared" si="9"/>
        <v>0.0251197333333334</v>
      </c>
      <c r="BO6" s="520">
        <f t="shared" ref="BO5:BO10" si="12">L6-AF6</f>
        <v>1.615465</v>
      </c>
      <c r="BP6" s="520">
        <f t="shared" si="10"/>
        <v>3.09825</v>
      </c>
      <c r="BQ6" s="520">
        <f t="shared" ref="BQ5:BQ10" si="13">N6-AH6</f>
        <v>4.933776</v>
      </c>
      <c r="BR6" s="602">
        <f>O6-AI6</f>
        <v>5.12236800000002</v>
      </c>
    </row>
    <row r="7" customHeight="1" spans="2:70">
      <c r="B7" s="532" t="s">
        <v>34</v>
      </c>
      <c r="C7" s="593">
        <v>13.6025</v>
      </c>
      <c r="D7" s="593">
        <v>14.57995</v>
      </c>
      <c r="E7" s="593">
        <v>16.64905</v>
      </c>
      <c r="F7" s="593">
        <v>16.32602</v>
      </c>
      <c r="G7" s="593">
        <v>16.437079</v>
      </c>
      <c r="H7" s="593">
        <v>15.699708</v>
      </c>
      <c r="I7" s="593">
        <v>19.411293</v>
      </c>
      <c r="J7" s="593">
        <v>19.067524</v>
      </c>
      <c r="K7" s="593">
        <v>22.198704</v>
      </c>
      <c r="L7" s="593">
        <v>21.431654</v>
      </c>
      <c r="M7" s="593">
        <v>19.758887</v>
      </c>
      <c r="N7" s="593">
        <v>24.838165</v>
      </c>
      <c r="O7" s="523">
        <f>SUM(C7:N7)</f>
        <v>220.000534</v>
      </c>
      <c r="P7" s="514">
        <f>M7/30</f>
        <v>0.658629566666667</v>
      </c>
      <c r="Q7" s="512">
        <f>N7/31</f>
        <v>0.801231129032258</v>
      </c>
      <c r="R7" s="512"/>
      <c r="S7" s="594">
        <f>Q7-P7</f>
        <v>0.142601562365591</v>
      </c>
      <c r="T7" s="595">
        <f>N7/31-AH7/31</f>
        <v>0.252908548387097</v>
      </c>
      <c r="U7" s="596">
        <f>O7-AI7</f>
        <v>12.058464</v>
      </c>
      <c r="V7" s="532" t="s">
        <v>34</v>
      </c>
      <c r="W7" s="597">
        <v>17.08935</v>
      </c>
      <c r="X7" s="597">
        <v>12.0566</v>
      </c>
      <c r="Y7" s="597">
        <v>16.67135</v>
      </c>
      <c r="Z7" s="597">
        <v>16.14075</v>
      </c>
      <c r="AA7" s="597">
        <v>15.69295</v>
      </c>
      <c r="AB7" s="597">
        <v>18.98145</v>
      </c>
      <c r="AC7" s="597">
        <v>24.04402</v>
      </c>
      <c r="AD7" s="597">
        <v>21.61425</v>
      </c>
      <c r="AE7" s="597">
        <v>16.77995</v>
      </c>
      <c r="AF7" s="597">
        <v>16.08595</v>
      </c>
      <c r="AG7" s="597">
        <v>15.78745</v>
      </c>
      <c r="AH7" s="597">
        <v>16.998</v>
      </c>
      <c r="AI7" s="523">
        <f>SUM(W7:AH7)</f>
        <v>207.94207</v>
      </c>
      <c r="AM7" s="532" t="s">
        <v>34</v>
      </c>
      <c r="AN7" s="598">
        <f t="shared" ref="AN7:AX7" si="14">(C7-W7)/W7</f>
        <v>-0.20403643204686</v>
      </c>
      <c r="AO7" s="598">
        <f t="shared" si="14"/>
        <v>0.209292006038187</v>
      </c>
      <c r="AP7" s="598">
        <f t="shared" si="14"/>
        <v>-0.00133762412762022</v>
      </c>
      <c r="AQ7" s="598">
        <f t="shared" si="14"/>
        <v>0.0114784009417158</v>
      </c>
      <c r="AR7" s="598">
        <f t="shared" si="14"/>
        <v>0.0474180444084765</v>
      </c>
      <c r="AS7" s="603">
        <f t="shared" si="14"/>
        <v>-0.172892060406344</v>
      </c>
      <c r="AT7" s="603">
        <f t="shared" si="14"/>
        <v>-0.19267689013734</v>
      </c>
      <c r="AU7" s="603">
        <f t="shared" si="14"/>
        <v>-0.11782624888673</v>
      </c>
      <c r="AV7" s="604">
        <f t="shared" si="14"/>
        <v>0.322930282867351</v>
      </c>
      <c r="AW7" s="604">
        <f t="shared" si="14"/>
        <v>0.332321311455028</v>
      </c>
      <c r="AX7" s="604">
        <f t="shared" si="14"/>
        <v>0.251556584502247</v>
      </c>
      <c r="AY7" s="604">
        <f>(N7-AH7)/AH7</f>
        <v>0.461240440051771</v>
      </c>
      <c r="AZ7" s="148">
        <f>(O7-AI7)/AI7</f>
        <v>0.0579895352585457</v>
      </c>
      <c r="BE7" s="605" t="s">
        <v>34</v>
      </c>
      <c r="BF7" s="520">
        <f t="shared" si="1"/>
        <v>-0.112479032258065</v>
      </c>
      <c r="BG7" s="520">
        <f t="shared" si="2"/>
        <v>0.0901196428571429</v>
      </c>
      <c r="BH7" s="520">
        <f t="shared" si="3"/>
        <v>-0.00071935483870972</v>
      </c>
      <c r="BI7" s="520">
        <f t="shared" si="4"/>
        <v>0.00617566666666664</v>
      </c>
      <c r="BJ7" s="520">
        <f t="shared" si="5"/>
        <v>0.0240041612903226</v>
      </c>
      <c r="BK7" s="520">
        <f t="shared" si="6"/>
        <v>-0.1093914</v>
      </c>
      <c r="BL7" s="520">
        <f t="shared" si="7"/>
        <v>-0.149442806451613</v>
      </c>
      <c r="BM7" s="520">
        <f t="shared" si="8"/>
        <v>-0.0821524516129032</v>
      </c>
      <c r="BN7" s="520">
        <f t="shared" si="9"/>
        <v>0.180625133333333</v>
      </c>
      <c r="BO7" s="520">
        <f t="shared" si="12"/>
        <v>5.345704</v>
      </c>
      <c r="BP7" s="520">
        <f t="shared" si="10"/>
        <v>3.971437</v>
      </c>
      <c r="BQ7" s="520">
        <f t="shared" si="13"/>
        <v>7.840165</v>
      </c>
      <c r="BR7" s="602">
        <f>O7-AI7</f>
        <v>12.058464</v>
      </c>
    </row>
    <row r="8" customHeight="1" spans="2:70">
      <c r="B8" s="519" t="s">
        <v>35</v>
      </c>
      <c r="C8" s="593">
        <v>43.624241</v>
      </c>
      <c r="D8" s="593">
        <v>41.759321</v>
      </c>
      <c r="E8" s="593">
        <v>47.286648</v>
      </c>
      <c r="F8" s="593">
        <v>44.105147</v>
      </c>
      <c r="G8" s="593">
        <v>44.125056</v>
      </c>
      <c r="H8" s="593">
        <v>42.968625</v>
      </c>
      <c r="I8" s="593">
        <v>50.883711</v>
      </c>
      <c r="J8" s="593">
        <v>52.430466</v>
      </c>
      <c r="K8" s="593">
        <v>47.556281</v>
      </c>
      <c r="L8" s="593">
        <v>47.29722</v>
      </c>
      <c r="M8" s="593">
        <v>46.491504</v>
      </c>
      <c r="N8" s="593">
        <v>49.768302</v>
      </c>
      <c r="O8" s="523">
        <f>SUM(C8:N8)</f>
        <v>558.296522</v>
      </c>
      <c r="P8" s="514">
        <f>M8/30</f>
        <v>1.5497168</v>
      </c>
      <c r="Q8" s="512">
        <f>N8/31</f>
        <v>1.60542909677419</v>
      </c>
      <c r="R8" s="512"/>
      <c r="S8" s="594">
        <f>Q8-P8</f>
        <v>0.0557122967741936</v>
      </c>
      <c r="T8" s="606">
        <f>N8/31-AH8/31</f>
        <v>-0.000590225806451627</v>
      </c>
      <c r="U8" s="596">
        <f>O8-AI8</f>
        <v>113.591148</v>
      </c>
      <c r="V8" s="519" t="s">
        <v>35</v>
      </c>
      <c r="W8" s="597">
        <v>24.67212</v>
      </c>
      <c r="X8" s="597">
        <v>18.545</v>
      </c>
      <c r="Y8" s="597">
        <v>25.7533</v>
      </c>
      <c r="Z8" s="597">
        <v>25.13315</v>
      </c>
      <c r="AA8" s="597">
        <v>34.808626</v>
      </c>
      <c r="AB8" s="597">
        <v>34.240654</v>
      </c>
      <c r="AC8" s="597">
        <v>27.445889</v>
      </c>
      <c r="AD8" s="597">
        <v>56.69126</v>
      </c>
      <c r="AE8" s="597">
        <v>50.257394</v>
      </c>
      <c r="AF8" s="597">
        <v>49.386444</v>
      </c>
      <c r="AG8" s="597">
        <v>47.984938</v>
      </c>
      <c r="AH8" s="597">
        <v>49.786599</v>
      </c>
      <c r="AI8" s="523">
        <f>SUM(W8:AH8)</f>
        <v>444.705374</v>
      </c>
      <c r="AM8" s="519" t="s">
        <v>35</v>
      </c>
      <c r="AN8" s="598">
        <f t="shared" ref="AN8:AX8" si="15">(C8-W8)/W8</f>
        <v>0.768159404218203</v>
      </c>
      <c r="AO8" s="598">
        <f t="shared" si="15"/>
        <v>1.25178328390402</v>
      </c>
      <c r="AP8" s="598">
        <f t="shared" si="15"/>
        <v>0.836139368546943</v>
      </c>
      <c r="AQ8" s="598">
        <f t="shared" si="15"/>
        <v>0.75485949831199</v>
      </c>
      <c r="AR8" s="598">
        <f t="shared" si="15"/>
        <v>0.267647163091126</v>
      </c>
      <c r="AS8" s="598">
        <f t="shared" si="15"/>
        <v>0.254900826368562</v>
      </c>
      <c r="AT8" s="598">
        <f t="shared" si="15"/>
        <v>0.853964759531017</v>
      </c>
      <c r="AU8" s="604">
        <f t="shared" si="15"/>
        <v>-0.0751578638400345</v>
      </c>
      <c r="AV8" s="604">
        <f t="shared" si="15"/>
        <v>-0.0537455841821006</v>
      </c>
      <c r="AW8" s="604">
        <f t="shared" si="15"/>
        <v>-0.0423035924595015</v>
      </c>
      <c r="AX8" s="604">
        <f t="shared" si="15"/>
        <v>-0.0311229744633618</v>
      </c>
      <c r="AY8" s="604">
        <f>(N8-AH8)/AH8</f>
        <v>-0.000367508533772391</v>
      </c>
      <c r="AZ8" s="607">
        <f>(O8-AI8)/AI8</f>
        <v>0.255430122146444</v>
      </c>
      <c r="BE8" s="601" t="s">
        <v>35</v>
      </c>
      <c r="BF8" s="520">
        <f t="shared" si="1"/>
        <v>0.611358741935484</v>
      </c>
      <c r="BG8" s="520">
        <f t="shared" si="2"/>
        <v>0.829082892857143</v>
      </c>
      <c r="BH8" s="520">
        <f t="shared" si="3"/>
        <v>0.694624129032258</v>
      </c>
      <c r="BI8" s="520">
        <f t="shared" si="4"/>
        <v>0.6323999</v>
      </c>
      <c r="BJ8" s="520">
        <f t="shared" si="5"/>
        <v>0.30053</v>
      </c>
      <c r="BK8" s="520">
        <f t="shared" si="6"/>
        <v>0.290932366666667</v>
      </c>
      <c r="BL8" s="520">
        <f t="shared" si="7"/>
        <v>0.756058774193548</v>
      </c>
      <c r="BM8" s="520">
        <f t="shared" si="8"/>
        <v>-0.137444967741935</v>
      </c>
      <c r="BN8" s="520">
        <f t="shared" si="9"/>
        <v>-0.0900371</v>
      </c>
      <c r="BO8" s="520">
        <f t="shared" si="12"/>
        <v>-2.08922399999999</v>
      </c>
      <c r="BP8" s="520">
        <f t="shared" si="10"/>
        <v>-1.493434</v>
      </c>
      <c r="BQ8" s="520">
        <f t="shared" si="13"/>
        <v>-0.018297000000004</v>
      </c>
      <c r="BR8" s="602">
        <f>O8-AI8</f>
        <v>113.591148</v>
      </c>
    </row>
    <row r="9" customHeight="1" spans="2:70">
      <c r="B9" s="519" t="s">
        <v>36</v>
      </c>
      <c r="C9" s="593">
        <v>20.44439</v>
      </c>
      <c r="D9" s="593">
        <v>19.891771</v>
      </c>
      <c r="E9" s="593">
        <v>20.066298</v>
      </c>
      <c r="F9" s="593">
        <v>22.343034</v>
      </c>
      <c r="G9" s="593">
        <v>23.171114</v>
      </c>
      <c r="H9" s="593">
        <v>23.901958</v>
      </c>
      <c r="I9" s="593">
        <v>26.223891</v>
      </c>
      <c r="J9" s="593">
        <v>24.740977</v>
      </c>
      <c r="K9" s="593">
        <v>22.444834</v>
      </c>
      <c r="L9" s="593">
        <v>24.182829</v>
      </c>
      <c r="M9" s="593">
        <v>23.481845</v>
      </c>
      <c r="N9" s="593">
        <v>24.495947</v>
      </c>
      <c r="O9" s="523">
        <f>SUM(C9:N9)</f>
        <v>275.388888</v>
      </c>
      <c r="P9" s="514">
        <f>M9/30</f>
        <v>0.782728166666667</v>
      </c>
      <c r="Q9" s="512">
        <f>N9/31</f>
        <v>0.790191838709677</v>
      </c>
      <c r="R9" s="512"/>
      <c r="S9" s="594">
        <f>Q9-P9</f>
        <v>0.00746367204301079</v>
      </c>
      <c r="T9" s="595">
        <f>N9/31-AH9/31</f>
        <v>0.068844741935484</v>
      </c>
      <c r="U9" s="596">
        <f>O9-AI9</f>
        <v>8.19570800000002</v>
      </c>
      <c r="V9" s="519" t="s">
        <v>36</v>
      </c>
      <c r="W9" s="597">
        <v>22.68776</v>
      </c>
      <c r="X9" s="597">
        <v>15.0936</v>
      </c>
      <c r="Y9" s="597">
        <v>22.4214</v>
      </c>
      <c r="Z9" s="597">
        <v>22.54322</v>
      </c>
      <c r="AA9" s="597">
        <v>24.2131</v>
      </c>
      <c r="AB9" s="597">
        <v>21.80981</v>
      </c>
      <c r="AC9" s="597">
        <v>23.321</v>
      </c>
      <c r="AD9" s="597">
        <v>23.48742</v>
      </c>
      <c r="AE9" s="597">
        <v>21.06856</v>
      </c>
      <c r="AF9" s="597">
        <v>24.55915</v>
      </c>
      <c r="AG9" s="597">
        <v>23.6264</v>
      </c>
      <c r="AH9" s="597">
        <v>22.36176</v>
      </c>
      <c r="AI9" s="523">
        <f>SUM(W9:AH9)</f>
        <v>267.19318</v>
      </c>
      <c r="AM9" s="519" t="s">
        <v>36</v>
      </c>
      <c r="AN9" s="598">
        <f t="shared" ref="AN9:AX9" si="16">(C9-W9)/W9</f>
        <v>-0.0988801891416342</v>
      </c>
      <c r="AO9" s="598">
        <f t="shared" si="16"/>
        <v>0.317894405575873</v>
      </c>
      <c r="AP9" s="603">
        <f t="shared" si="16"/>
        <v>-0.105038133212021</v>
      </c>
      <c r="AQ9" s="603">
        <f t="shared" si="16"/>
        <v>-0.00888009787421682</v>
      </c>
      <c r="AR9" s="603">
        <f t="shared" si="16"/>
        <v>-0.0430339774750031</v>
      </c>
      <c r="AS9" s="604">
        <f t="shared" si="16"/>
        <v>0.0959269246270372</v>
      </c>
      <c r="AT9" s="604">
        <f t="shared" si="16"/>
        <v>0.12447540843017</v>
      </c>
      <c r="AU9" s="604">
        <f t="shared" si="16"/>
        <v>0.0533714218079294</v>
      </c>
      <c r="AV9" s="604">
        <f t="shared" si="16"/>
        <v>0.06532359117092</v>
      </c>
      <c r="AW9" s="599">
        <f t="shared" si="16"/>
        <v>-0.0153230466038115</v>
      </c>
      <c r="AX9" s="599">
        <f t="shared" si="16"/>
        <v>-0.00611836758879899</v>
      </c>
      <c r="AY9" s="604">
        <f>(N9-AH9)/AH9</f>
        <v>0.095439133592347</v>
      </c>
      <c r="AZ9" s="148">
        <f>(O9-AI9)/AI9</f>
        <v>0.0306733427851715</v>
      </c>
      <c r="BE9" s="601" t="s">
        <v>36</v>
      </c>
      <c r="BF9" s="520">
        <f t="shared" si="1"/>
        <v>-0.0723667741935485</v>
      </c>
      <c r="BG9" s="520">
        <f t="shared" si="2"/>
        <v>0.17136325</v>
      </c>
      <c r="BH9" s="520">
        <f t="shared" si="3"/>
        <v>-0.0759710322580645</v>
      </c>
      <c r="BI9" s="520">
        <f t="shared" si="4"/>
        <v>-0.00667286666666674</v>
      </c>
      <c r="BJ9" s="520">
        <f t="shared" si="5"/>
        <v>-0.0336124516129032</v>
      </c>
      <c r="BK9" s="520">
        <f t="shared" si="6"/>
        <v>0.0697382666666667</v>
      </c>
      <c r="BL9" s="520">
        <f t="shared" si="7"/>
        <v>0.0936416451612902</v>
      </c>
      <c r="BM9" s="520">
        <f t="shared" si="8"/>
        <v>0.0404373225806451</v>
      </c>
      <c r="BN9" s="520">
        <f t="shared" si="9"/>
        <v>0.0458758</v>
      </c>
      <c r="BO9" s="520">
        <f t="shared" si="12"/>
        <v>-0.376320999999997</v>
      </c>
      <c r="BP9" s="520">
        <f t="shared" si="10"/>
        <v>-0.144555</v>
      </c>
      <c r="BQ9" s="520">
        <f t="shared" si="13"/>
        <v>2.134187</v>
      </c>
      <c r="BR9" s="602">
        <f>O9-AI9</f>
        <v>8.19570800000002</v>
      </c>
    </row>
    <row r="10" customHeight="1" spans="2:70">
      <c r="B10" s="537" t="s">
        <v>14</v>
      </c>
      <c r="C10" s="533">
        <f>SUM(C5:C9)</f>
        <v>100.401998</v>
      </c>
      <c r="D10" s="533">
        <f>SUM(D5:D9)</f>
        <v>98.990788</v>
      </c>
      <c r="E10" s="533">
        <f>SUM(E5:E9)</f>
        <v>109.874408</v>
      </c>
      <c r="F10" s="533">
        <f t="shared" ref="C10:H10" si="17">SUM(F5:F9)</f>
        <v>108.570939</v>
      </c>
      <c r="G10" s="533">
        <f t="shared" si="17"/>
        <v>110.996987</v>
      </c>
      <c r="H10" s="533">
        <f t="shared" si="17"/>
        <v>106.001701</v>
      </c>
      <c r="I10" s="533">
        <f t="shared" ref="I10:N10" si="18">SUM(I5:I9)</f>
        <v>124.820078</v>
      </c>
      <c r="J10" s="533">
        <f t="shared" si="18"/>
        <v>123.136454</v>
      </c>
      <c r="K10" s="533">
        <f t="shared" si="18"/>
        <v>116.115843</v>
      </c>
      <c r="L10" s="533">
        <f t="shared" si="18"/>
        <v>118.286232</v>
      </c>
      <c r="M10" s="533">
        <f t="shared" si="18"/>
        <v>116.855764</v>
      </c>
      <c r="N10" s="533">
        <f t="shared" si="18"/>
        <v>131.74948</v>
      </c>
      <c r="O10" s="536">
        <f>SUM(O5:O9)</f>
        <v>1365.800672</v>
      </c>
      <c r="P10" s="608">
        <f>M10/30</f>
        <v>3.89519213333333</v>
      </c>
      <c r="Q10" s="533">
        <f>N10/31</f>
        <v>4.24998322580645</v>
      </c>
      <c r="R10" s="533"/>
      <c r="S10" s="609">
        <f>Q10-P10</f>
        <v>0.354791092473119</v>
      </c>
      <c r="T10" s="610">
        <f>N10/31-AH10/31</f>
        <v>0.572776483870968</v>
      </c>
      <c r="U10" s="596">
        <f>O10-AI10</f>
        <v>129.335588</v>
      </c>
      <c r="V10" s="537" t="s">
        <v>14</v>
      </c>
      <c r="W10" s="533">
        <f>SUM(W5:W9)</f>
        <v>93.21033</v>
      </c>
      <c r="X10" s="533">
        <f>SUM(X5:X9)</f>
        <v>65.2349</v>
      </c>
      <c r="Y10" s="533">
        <f t="shared" ref="W10:AH10" si="19">SUM(Y5:Y9)</f>
        <v>94.54641</v>
      </c>
      <c r="Z10" s="533">
        <f t="shared" si="19"/>
        <v>91.51252</v>
      </c>
      <c r="AA10" s="533">
        <f t="shared" si="19"/>
        <v>102.796676</v>
      </c>
      <c r="AB10" s="533">
        <f t="shared" si="19"/>
        <v>100.788014</v>
      </c>
      <c r="AC10" s="533">
        <f t="shared" si="19"/>
        <v>106.434109</v>
      </c>
      <c r="AD10" s="533">
        <f t="shared" si="19"/>
        <v>128.36173</v>
      </c>
      <c r="AE10" s="533">
        <f t="shared" si="19"/>
        <v>112.138704</v>
      </c>
      <c r="AF10" s="533">
        <f t="shared" si="19"/>
        <v>115.075744</v>
      </c>
      <c r="AG10" s="533">
        <f>SUM(AG5:AG9)</f>
        <v>112.372538</v>
      </c>
      <c r="AH10" s="533">
        <f>SUM(AH5:AH9)</f>
        <v>113.993409</v>
      </c>
      <c r="AI10" s="536">
        <f>SUM(AI5:AI9)</f>
        <v>1236.465084</v>
      </c>
      <c r="AM10" s="537" t="s">
        <v>14</v>
      </c>
      <c r="AN10" s="611">
        <f>(C10-W10)/C10</f>
        <v>0.0716287339222073</v>
      </c>
      <c r="AO10" s="611">
        <f t="shared" ref="AO10:AY10" si="20">(D10-X10)/D10</f>
        <v>0.341000295906322</v>
      </c>
      <c r="AP10" s="611">
        <f t="shared" si="20"/>
        <v>0.139504715238147</v>
      </c>
      <c r="AQ10" s="611">
        <f t="shared" si="20"/>
        <v>0.157117725582165</v>
      </c>
      <c r="AR10" s="611">
        <f t="shared" si="20"/>
        <v>0.0738786810492432</v>
      </c>
      <c r="AS10" s="611">
        <f t="shared" si="20"/>
        <v>0.0491849371360559</v>
      </c>
      <c r="AT10" s="611">
        <f t="shared" si="20"/>
        <v>0.147299771756271</v>
      </c>
      <c r="AU10" s="611">
        <f t="shared" si="20"/>
        <v>-0.0424348422441984</v>
      </c>
      <c r="AV10" s="611">
        <f t="shared" si="20"/>
        <v>0.0342514759161676</v>
      </c>
      <c r="AW10" s="611">
        <f t="shared" si="20"/>
        <v>0.0271416879692305</v>
      </c>
      <c r="AX10" s="611">
        <f t="shared" si="20"/>
        <v>0.0383654673636808</v>
      </c>
      <c r="AY10" s="611">
        <f t="shared" si="20"/>
        <v>0.134771469306748</v>
      </c>
      <c r="AZ10" s="612">
        <f>(O10-AI10)/AI10</f>
        <v>0.104601083907356</v>
      </c>
      <c r="BE10" s="613" t="s">
        <v>14</v>
      </c>
      <c r="BF10" s="614">
        <f t="shared" si="1"/>
        <v>0.23198929032258</v>
      </c>
      <c r="BG10" s="614">
        <f t="shared" si="2"/>
        <v>1.20556742857143</v>
      </c>
      <c r="BH10" s="614">
        <f t="shared" si="3"/>
        <v>0.494451548387097</v>
      </c>
      <c r="BI10" s="614">
        <f t="shared" si="4"/>
        <v>0.568613966666666</v>
      </c>
      <c r="BJ10" s="614">
        <f t="shared" si="5"/>
        <v>0.264526161290323</v>
      </c>
      <c r="BK10" s="614">
        <f t="shared" si="6"/>
        <v>0.173789566666666</v>
      </c>
      <c r="BL10" s="614">
        <f t="shared" si="7"/>
        <v>0.593095774193548</v>
      </c>
      <c r="BM10" s="614">
        <f t="shared" si="8"/>
        <v>-0.16855729032258</v>
      </c>
      <c r="BN10" s="614">
        <f t="shared" si="9"/>
        <v>0.1325713</v>
      </c>
      <c r="BO10" s="614">
        <f t="shared" si="12"/>
        <v>3.21048800000001</v>
      </c>
      <c r="BP10" s="614">
        <f t="shared" si="10"/>
        <v>4.48322599999999</v>
      </c>
      <c r="BQ10" s="614">
        <f t="shared" si="13"/>
        <v>17.756071</v>
      </c>
      <c r="BR10" s="615">
        <f>O10-AI10</f>
        <v>129.335588</v>
      </c>
    </row>
    <row r="11" customHeight="1" spans="2:70">
      <c r="B11" s="616">
        <v>10000</v>
      </c>
      <c r="U11" s="617"/>
      <c r="W11" s="494">
        <v>10000</v>
      </c>
    </row>
    <row r="12" customHeight="1" spans="2:70">
      <c r="B12" s="570" t="s">
        <v>37</v>
      </c>
      <c r="C12" s="570"/>
      <c r="D12" s="570"/>
      <c r="E12" s="570"/>
      <c r="F12" s="570"/>
      <c r="G12" s="570"/>
      <c r="H12" s="570"/>
      <c r="I12" s="570"/>
      <c r="J12" s="570"/>
      <c r="K12" s="570"/>
      <c r="L12" s="570"/>
      <c r="M12" s="570"/>
      <c r="N12" s="570"/>
      <c r="O12" s="570"/>
      <c r="P12" s="570"/>
      <c r="Q12" s="570"/>
      <c r="R12" s="570"/>
      <c r="S12" s="570"/>
      <c r="T12" s="570"/>
      <c r="U12" s="617"/>
      <c r="V12" s="570" t="s">
        <v>38</v>
      </c>
      <c r="W12" s="570"/>
      <c r="X12" s="570"/>
      <c r="Y12" s="570"/>
      <c r="Z12" s="570"/>
      <c r="AA12" s="570"/>
      <c r="AB12" s="570"/>
      <c r="AC12" s="570"/>
      <c r="AD12" s="570"/>
      <c r="AE12" s="570"/>
      <c r="AF12" s="570"/>
      <c r="AG12" s="570"/>
      <c r="AH12" s="570"/>
      <c r="AI12" s="570"/>
      <c r="AM12" s="618" t="s">
        <v>39</v>
      </c>
      <c r="AN12" s="619"/>
      <c r="AO12" s="619"/>
      <c r="AP12" s="619"/>
      <c r="AQ12" s="619"/>
      <c r="AR12" s="619"/>
      <c r="AS12" s="619"/>
      <c r="AT12" s="619"/>
      <c r="AU12" s="619"/>
      <c r="AV12" s="619"/>
      <c r="AW12" s="619"/>
      <c r="AX12" s="619"/>
      <c r="AY12" s="619"/>
      <c r="AZ12" s="620"/>
      <c r="BE12" s="570" t="s">
        <v>40</v>
      </c>
      <c r="BF12" s="570"/>
      <c r="BG12" s="570"/>
      <c r="BH12" s="570"/>
      <c r="BI12" s="570"/>
      <c r="BJ12" s="570"/>
      <c r="BK12" s="570"/>
      <c r="BL12" s="570"/>
      <c r="BM12" s="570"/>
      <c r="BN12" s="570"/>
      <c r="BO12" s="570"/>
      <c r="BP12" s="570"/>
      <c r="BQ12" s="570"/>
      <c r="BR12" s="570"/>
    </row>
    <row r="13" ht="15" customHeight="1" spans="2:70">
      <c r="B13" s="572" t="s">
        <v>26</v>
      </c>
      <c r="C13" s="573" t="s">
        <v>2</v>
      </c>
      <c r="D13" s="573" t="s">
        <v>3</v>
      </c>
      <c r="E13" s="573" t="s">
        <v>4</v>
      </c>
      <c r="F13" s="573" t="s">
        <v>5</v>
      </c>
      <c r="G13" s="573" t="s">
        <v>6</v>
      </c>
      <c r="H13" s="573" t="s">
        <v>7</v>
      </c>
      <c r="I13" s="573" t="s">
        <v>8</v>
      </c>
      <c r="J13" s="573" t="s">
        <v>9</v>
      </c>
      <c r="K13" s="573" t="s">
        <v>10</v>
      </c>
      <c r="L13" s="573" t="s">
        <v>11</v>
      </c>
      <c r="M13" s="573" t="s">
        <v>12</v>
      </c>
      <c r="N13" s="573" t="s">
        <v>13</v>
      </c>
      <c r="O13" s="574" t="s">
        <v>14</v>
      </c>
      <c r="P13" s="575" t="s">
        <v>27</v>
      </c>
      <c r="Q13" s="573" t="s">
        <v>28</v>
      </c>
      <c r="R13" s="573"/>
      <c r="S13" s="576" t="s">
        <v>29</v>
      </c>
      <c r="T13" s="577" t="s">
        <v>30</v>
      </c>
      <c r="U13" s="578" t="s">
        <v>31</v>
      </c>
      <c r="V13" s="579" t="s">
        <v>26</v>
      </c>
      <c r="W13" s="580" t="s">
        <v>2</v>
      </c>
      <c r="X13" s="580" t="s">
        <v>3</v>
      </c>
      <c r="Y13" s="580" t="s">
        <v>4</v>
      </c>
      <c r="Z13" s="580" t="s">
        <v>5</v>
      </c>
      <c r="AA13" s="580" t="s">
        <v>6</v>
      </c>
      <c r="AB13" s="580" t="s">
        <v>7</v>
      </c>
      <c r="AC13" s="580" t="s">
        <v>8</v>
      </c>
      <c r="AD13" s="580" t="s">
        <v>9</v>
      </c>
      <c r="AE13" s="580" t="s">
        <v>10</v>
      </c>
      <c r="AF13" s="580" t="s">
        <v>11</v>
      </c>
      <c r="AG13" s="580" t="s">
        <v>12</v>
      </c>
      <c r="AH13" s="580" t="s">
        <v>13</v>
      </c>
      <c r="AI13" s="581" t="s">
        <v>14</v>
      </c>
      <c r="AM13" s="589" t="s">
        <v>26</v>
      </c>
      <c r="AN13" s="590" t="s">
        <v>2</v>
      </c>
      <c r="AO13" s="590" t="s">
        <v>3</v>
      </c>
      <c r="AP13" s="590" t="s">
        <v>4</v>
      </c>
      <c r="AQ13" s="590" t="s">
        <v>5</v>
      </c>
      <c r="AR13" s="590" t="s">
        <v>6</v>
      </c>
      <c r="AS13" s="590" t="s">
        <v>7</v>
      </c>
      <c r="AT13" s="590" t="s">
        <v>8</v>
      </c>
      <c r="AU13" s="590" t="s">
        <v>9</v>
      </c>
      <c r="AV13" s="590" t="s">
        <v>10</v>
      </c>
      <c r="AW13" s="590" t="s">
        <v>11</v>
      </c>
      <c r="AX13" s="590" t="s">
        <v>12</v>
      </c>
      <c r="AY13" s="590" t="s">
        <v>13</v>
      </c>
      <c r="AZ13" s="591" t="s">
        <v>14</v>
      </c>
      <c r="BE13" s="579" t="s">
        <v>26</v>
      </c>
      <c r="BF13" s="580" t="s">
        <v>2</v>
      </c>
      <c r="BG13" s="580" t="s">
        <v>3</v>
      </c>
      <c r="BH13" s="580" t="s">
        <v>4</v>
      </c>
      <c r="BI13" s="580" t="s">
        <v>5</v>
      </c>
      <c r="BJ13" s="580" t="s">
        <v>6</v>
      </c>
      <c r="BK13" s="580" t="s">
        <v>7</v>
      </c>
      <c r="BL13" s="580" t="s">
        <v>8</v>
      </c>
      <c r="BM13" s="580" t="s">
        <v>9</v>
      </c>
      <c r="BN13" s="580" t="s">
        <v>10</v>
      </c>
      <c r="BO13" s="580" t="s">
        <v>11</v>
      </c>
      <c r="BP13" s="580" t="s">
        <v>12</v>
      </c>
      <c r="BQ13" s="580" t="s">
        <v>13</v>
      </c>
      <c r="BR13" s="581" t="s">
        <v>41</v>
      </c>
    </row>
    <row r="14" ht="20" customHeight="1" spans="2:70">
      <c r="B14" s="583"/>
      <c r="C14" s="584"/>
      <c r="D14" s="584"/>
      <c r="E14" s="584"/>
      <c r="F14" s="584"/>
      <c r="G14" s="584"/>
      <c r="H14" s="584"/>
      <c r="I14" s="584"/>
      <c r="J14" s="584"/>
      <c r="K14" s="584"/>
      <c r="L14" s="584"/>
      <c r="M14" s="584"/>
      <c r="N14" s="584"/>
      <c r="O14" s="585"/>
      <c r="P14" s="586"/>
      <c r="Q14" s="584"/>
      <c r="R14" s="584"/>
      <c r="S14" s="587"/>
      <c r="T14" s="588"/>
      <c r="U14" s="578"/>
      <c r="V14" s="589"/>
      <c r="W14" s="590"/>
      <c r="X14" s="590"/>
      <c r="Y14" s="590"/>
      <c r="Z14" s="590"/>
      <c r="AA14" s="590"/>
      <c r="AB14" s="590"/>
      <c r="AC14" s="590"/>
      <c r="AD14" s="590"/>
      <c r="AE14" s="590"/>
      <c r="AF14" s="590"/>
      <c r="AG14" s="590"/>
      <c r="AH14" s="590"/>
      <c r="AI14" s="591"/>
      <c r="AM14" s="589"/>
      <c r="AN14" s="590"/>
      <c r="AO14" s="590"/>
      <c r="AP14" s="590"/>
      <c r="AQ14" s="590"/>
      <c r="AR14" s="590"/>
      <c r="AS14" s="590"/>
      <c r="AT14" s="590"/>
      <c r="AU14" s="590"/>
      <c r="AV14" s="590"/>
      <c r="AW14" s="590"/>
      <c r="AX14" s="590"/>
      <c r="AY14" s="590"/>
      <c r="AZ14" s="591"/>
      <c r="BE14" s="589"/>
      <c r="BF14" s="590"/>
      <c r="BG14" s="590"/>
      <c r="BH14" s="590"/>
      <c r="BI14" s="590"/>
      <c r="BJ14" s="590"/>
      <c r="BK14" s="590"/>
      <c r="BL14" s="590"/>
      <c r="BM14" s="590"/>
      <c r="BN14" s="590"/>
      <c r="BO14" s="590"/>
      <c r="BP14" s="590"/>
      <c r="BQ14" s="590"/>
      <c r="BR14" s="591"/>
    </row>
    <row r="15" customHeight="1" spans="2:70">
      <c r="B15" s="519" t="s">
        <v>32</v>
      </c>
      <c r="C15" s="593">
        <v>1.2497</v>
      </c>
      <c r="D15" s="593">
        <v>1.207</v>
      </c>
      <c r="E15" s="593">
        <v>1.3272</v>
      </c>
      <c r="F15" s="593">
        <v>1.3067</v>
      </c>
      <c r="G15" s="593">
        <v>1.3748</v>
      </c>
      <c r="H15" s="593">
        <v>1.1699</v>
      </c>
      <c r="I15" s="593">
        <v>1.4154</v>
      </c>
      <c r="J15" s="593">
        <v>1.1762</v>
      </c>
      <c r="K15" s="593">
        <v>1.1573</v>
      </c>
      <c r="L15" s="593">
        <v>1.1137</v>
      </c>
      <c r="M15" s="593">
        <v>1.1929</v>
      </c>
      <c r="N15" s="593">
        <v>1.5454</v>
      </c>
      <c r="O15" s="523">
        <f>SUM(C15:N15)</f>
        <v>15.2362</v>
      </c>
      <c r="P15" s="514">
        <f>M15/30</f>
        <v>0.0397633333333333</v>
      </c>
      <c r="Q15" s="512">
        <f>N15/31</f>
        <v>0.0498516129032258</v>
      </c>
      <c r="R15" s="512"/>
      <c r="S15" s="594">
        <f>Q15-P15</f>
        <v>0.0100882795698925</v>
      </c>
      <c r="T15" s="595">
        <f>N15/31-AH15/31</f>
        <v>0.0078483870967742</v>
      </c>
      <c r="U15" s="596">
        <f t="shared" ref="U15:U20" si="21">O15-AI15</f>
        <v>-0.9849</v>
      </c>
      <c r="V15" s="601" t="s">
        <v>32</v>
      </c>
      <c r="W15" s="597">
        <v>1.538</v>
      </c>
      <c r="X15" s="597">
        <v>0.9512</v>
      </c>
      <c r="Y15" s="597">
        <v>1.5719</v>
      </c>
      <c r="Z15" s="597">
        <v>1.4016</v>
      </c>
      <c r="AA15" s="597">
        <v>1.4277</v>
      </c>
      <c r="AB15" s="597">
        <v>1.3032</v>
      </c>
      <c r="AC15" s="597">
        <v>1.6197</v>
      </c>
      <c r="AD15" s="597">
        <f>(3199+9616)/10000</f>
        <v>1.2815</v>
      </c>
      <c r="AE15" s="597">
        <v>1.2361</v>
      </c>
      <c r="AF15" s="597">
        <v>1.261</v>
      </c>
      <c r="AG15" s="597">
        <v>1.3271</v>
      </c>
      <c r="AH15" s="597">
        <v>1.3021</v>
      </c>
      <c r="AI15" s="523">
        <f t="shared" ref="AI15:AI19" si="22">SUM(W15:AH15)</f>
        <v>16.2211</v>
      </c>
      <c r="AM15" s="601" t="s">
        <v>32</v>
      </c>
      <c r="AN15" s="598">
        <f>(C15-W15)/W15</f>
        <v>-0.187451235370611</v>
      </c>
      <c r="AO15" s="598">
        <f t="shared" ref="AO15:AY15" si="23">(D15-X15)/X15</f>
        <v>0.26892346509672</v>
      </c>
      <c r="AP15" s="598">
        <f t="shared" si="23"/>
        <v>-0.15567148037407</v>
      </c>
      <c r="AQ15" s="598">
        <f t="shared" si="23"/>
        <v>-0.0677083333333333</v>
      </c>
      <c r="AR15" s="598">
        <f t="shared" si="23"/>
        <v>-0.0370526020872732</v>
      </c>
      <c r="AS15" s="598">
        <f t="shared" si="23"/>
        <v>-0.102286678944137</v>
      </c>
      <c r="AT15" s="598">
        <f t="shared" si="23"/>
        <v>-0.126134469346175</v>
      </c>
      <c r="AU15" s="621">
        <f t="shared" si="23"/>
        <v>-0.0821693328131098</v>
      </c>
      <c r="AV15" s="621">
        <f t="shared" si="23"/>
        <v>-0.0637488876304506</v>
      </c>
      <c r="AW15" s="621">
        <f t="shared" si="23"/>
        <v>-0.116812053925456</v>
      </c>
      <c r="AX15" s="621">
        <f t="shared" si="23"/>
        <v>-0.101122748850878</v>
      </c>
      <c r="AY15" s="604">
        <f t="shared" si="23"/>
        <v>0.186852008294294</v>
      </c>
      <c r="AZ15" s="622">
        <f>(O15-AI15)/AI15</f>
        <v>-0.0607172139990506</v>
      </c>
      <c r="BE15" s="601" t="s">
        <v>32</v>
      </c>
      <c r="BF15" s="520">
        <f t="shared" ref="BF15:BJ15" si="24">(C15-W15)/31</f>
        <v>-0.0093</v>
      </c>
      <c r="BG15" s="520">
        <f t="shared" ref="BG15:BG20" si="25">(D15-X15)/28</f>
        <v>0.00913571428571429</v>
      </c>
      <c r="BH15" s="520">
        <f t="shared" si="24"/>
        <v>-0.00789354838709678</v>
      </c>
      <c r="BI15" s="520">
        <f>(F15-Z15)/30</f>
        <v>-0.00316333333333333</v>
      </c>
      <c r="BJ15" s="520">
        <f t="shared" si="24"/>
        <v>-0.00170645161290322</v>
      </c>
      <c r="BK15" s="520">
        <f>(H15-AB15)/30</f>
        <v>-0.00444333333333333</v>
      </c>
      <c r="BL15" s="520">
        <f t="shared" ref="BL15:BL20" si="26">(I15-AC15)/31</f>
        <v>-0.00659032258064516</v>
      </c>
      <c r="BM15" s="520">
        <f>(J15-AD15)/31</f>
        <v>-0.00339677419354839</v>
      </c>
      <c r="BN15" s="520">
        <f>(K15-AE15)/30</f>
        <v>-0.00262666666666667</v>
      </c>
      <c r="BO15" s="520">
        <f t="shared" ref="BO15:BQ15" si="27">L15-AF15</f>
        <v>-0.1473</v>
      </c>
      <c r="BP15" s="520">
        <f t="shared" si="27"/>
        <v>-0.1342</v>
      </c>
      <c r="BQ15" s="520">
        <f t="shared" si="27"/>
        <v>0.2433</v>
      </c>
      <c r="BR15" s="602">
        <f t="shared" ref="BR15:BR20" si="28">AVERAGE(BF15:BN15)</f>
        <v>-0.00333163509131251</v>
      </c>
    </row>
    <row r="16" customHeight="1" spans="2:70">
      <c r="B16" s="519" t="s">
        <v>33</v>
      </c>
      <c r="C16" s="593">
        <v>1.0442</v>
      </c>
      <c r="D16" s="593">
        <v>1.0626</v>
      </c>
      <c r="E16" s="593">
        <v>1.3161</v>
      </c>
      <c r="F16" s="593">
        <v>1.3107</v>
      </c>
      <c r="G16" s="593">
        <v>1.3683</v>
      </c>
      <c r="H16" s="593">
        <v>1.1965</v>
      </c>
      <c r="I16" s="593">
        <v>1.4173</v>
      </c>
      <c r="J16" s="593">
        <v>1.462</v>
      </c>
      <c r="K16" s="593">
        <v>1.318</v>
      </c>
      <c r="L16" s="593">
        <v>1.3892</v>
      </c>
      <c r="M16" s="593">
        <v>1.4517</v>
      </c>
      <c r="N16" s="593">
        <v>1.5391</v>
      </c>
      <c r="O16" s="523">
        <f>SUM(C16:N16)</f>
        <v>15.8757</v>
      </c>
      <c r="P16" s="514">
        <f>M16/30</f>
        <v>0.04839</v>
      </c>
      <c r="Q16" s="512">
        <f>N16/31</f>
        <v>0.0496483870967742</v>
      </c>
      <c r="R16" s="512"/>
      <c r="S16" s="594">
        <f>Q16-P16</f>
        <v>0.00125838709677419</v>
      </c>
      <c r="T16" s="595">
        <f>N16/31-AH16/31</f>
        <v>0.0103677419354839</v>
      </c>
      <c r="U16" s="596">
        <f t="shared" si="21"/>
        <v>0.462100000000001</v>
      </c>
      <c r="V16" s="601" t="s">
        <v>33</v>
      </c>
      <c r="W16" s="597">
        <v>1.3919</v>
      </c>
      <c r="X16" s="597">
        <v>0.8403</v>
      </c>
      <c r="Y16" s="597">
        <v>1.385</v>
      </c>
      <c r="Z16" s="597">
        <v>1.4007</v>
      </c>
      <c r="AA16" s="597">
        <v>1.3708</v>
      </c>
      <c r="AB16" s="597">
        <v>1.2715</v>
      </c>
      <c r="AC16" s="597">
        <f>(4838+10027)/10000</f>
        <v>1.4865</v>
      </c>
      <c r="AD16" s="597">
        <v>1.3364</v>
      </c>
      <c r="AE16" s="597">
        <v>1.237</v>
      </c>
      <c r="AF16" s="597">
        <v>1.2596</v>
      </c>
      <c r="AG16" s="597">
        <v>1.2162</v>
      </c>
      <c r="AH16" s="597">
        <v>1.2177</v>
      </c>
      <c r="AI16" s="523">
        <f t="shared" si="22"/>
        <v>15.4136</v>
      </c>
      <c r="AM16" s="601" t="s">
        <v>33</v>
      </c>
      <c r="AN16" s="598">
        <f t="shared" ref="AN16:AX16" si="29">(C16-W16)/W16</f>
        <v>-0.249802428335369</v>
      </c>
      <c r="AO16" s="598">
        <f t="shared" si="29"/>
        <v>0.26454837558015</v>
      </c>
      <c r="AP16" s="598">
        <f t="shared" si="29"/>
        <v>-0.0497472924187725</v>
      </c>
      <c r="AQ16" s="598">
        <f t="shared" si="29"/>
        <v>-0.0642535874919684</v>
      </c>
      <c r="AR16" s="598">
        <f t="shared" si="29"/>
        <v>-0.00182375255325354</v>
      </c>
      <c r="AS16" s="598">
        <f t="shared" si="29"/>
        <v>-0.0589854502556038</v>
      </c>
      <c r="AT16" s="598">
        <f t="shared" si="29"/>
        <v>-0.046552304069963</v>
      </c>
      <c r="AU16" s="604">
        <f t="shared" si="29"/>
        <v>0.0939838371744986</v>
      </c>
      <c r="AV16" s="604">
        <f t="shared" si="29"/>
        <v>0.0654810024252223</v>
      </c>
      <c r="AW16" s="604">
        <f t="shared" si="29"/>
        <v>0.10288980628771</v>
      </c>
      <c r="AX16" s="604">
        <f t="shared" si="29"/>
        <v>0.193635915145535</v>
      </c>
      <c r="AY16" s="623">
        <f>(N16-AH16)/AH16</f>
        <v>0.263940215159727</v>
      </c>
      <c r="AZ16" s="624">
        <f>(O16-AI16)/AI16</f>
        <v>0.0299800176467536</v>
      </c>
      <c r="BE16" s="601" t="s">
        <v>33</v>
      </c>
      <c r="BF16" s="520">
        <f t="shared" ref="BF16:BJ16" si="30">(C16-W16)/31</f>
        <v>-0.0112161290322581</v>
      </c>
      <c r="BG16" s="520">
        <f t="shared" si="25"/>
        <v>0.00793928571428571</v>
      </c>
      <c r="BH16" s="520">
        <f t="shared" si="30"/>
        <v>-0.00222258064516129</v>
      </c>
      <c r="BI16" s="520">
        <f t="shared" ref="BI16:BN16" si="31">(F16-Z16)/30</f>
        <v>-0.003</v>
      </c>
      <c r="BJ16" s="520">
        <f t="shared" si="30"/>
        <v>-8.06451612903209e-5</v>
      </c>
      <c r="BK16" s="520">
        <f t="shared" si="31"/>
        <v>-0.00250000000000001</v>
      </c>
      <c r="BL16" s="520">
        <f t="shared" si="26"/>
        <v>-0.00223225806451613</v>
      </c>
      <c r="BM16" s="520">
        <f t="shared" ref="BM15:BM20" si="32">(J16-AD16)/31</f>
        <v>0.0040516129032258</v>
      </c>
      <c r="BN16" s="520">
        <f t="shared" si="31"/>
        <v>0.0027</v>
      </c>
      <c r="BO16" s="520">
        <f t="shared" ref="BO16:BQ16" si="33">L16-AF16</f>
        <v>0.1296</v>
      </c>
      <c r="BP16" s="520">
        <f t="shared" si="33"/>
        <v>0.2355</v>
      </c>
      <c r="BQ16" s="520">
        <f t="shared" si="33"/>
        <v>0.3214</v>
      </c>
      <c r="BR16" s="602">
        <f t="shared" si="28"/>
        <v>-0.000728968253968254</v>
      </c>
    </row>
    <row r="17" customHeight="1" spans="2:70">
      <c r="B17" s="532" t="s">
        <v>34</v>
      </c>
      <c r="C17" s="593">
        <v>1.3474</v>
      </c>
      <c r="D17" s="593">
        <v>1.4603</v>
      </c>
      <c r="E17" s="593">
        <v>1.6576</v>
      </c>
      <c r="F17" s="593">
        <v>1.6853</v>
      </c>
      <c r="G17" s="593">
        <v>1.708</v>
      </c>
      <c r="H17" s="593">
        <v>1.6449</v>
      </c>
      <c r="I17" s="593">
        <v>2.0084</v>
      </c>
      <c r="J17" s="593">
        <v>1.9812</v>
      </c>
      <c r="K17" s="593">
        <v>2.1867</v>
      </c>
      <c r="L17" s="593">
        <v>2.0487</v>
      </c>
      <c r="M17" s="593">
        <v>1.9074</v>
      </c>
      <c r="N17" s="593">
        <v>2.2718</v>
      </c>
      <c r="O17" s="523">
        <f>SUM(C17:N17)</f>
        <v>21.9077</v>
      </c>
      <c r="P17" s="514">
        <f>M17/30</f>
        <v>0.06358</v>
      </c>
      <c r="Q17" s="512">
        <f>N17/31</f>
        <v>0.0732838709677419</v>
      </c>
      <c r="R17" s="512"/>
      <c r="S17" s="594">
        <f>Q17-P17</f>
        <v>0.00970387096774193</v>
      </c>
      <c r="T17" s="595">
        <f>N17/31-AH17/31</f>
        <v>0.0194806451612903</v>
      </c>
      <c r="U17" s="596">
        <f t="shared" si="21"/>
        <v>2.4571</v>
      </c>
      <c r="V17" s="605" t="s">
        <v>34</v>
      </c>
      <c r="W17" s="597">
        <v>1.698</v>
      </c>
      <c r="X17" s="597">
        <v>1.091</v>
      </c>
      <c r="Y17" s="597">
        <v>1.6274</v>
      </c>
      <c r="Z17" s="597">
        <v>1.5584</v>
      </c>
      <c r="AA17" s="597">
        <v>1.5517</v>
      </c>
      <c r="AB17" s="597">
        <v>1.6283</v>
      </c>
      <c r="AC17" s="597">
        <v>2.0184</v>
      </c>
      <c r="AD17" s="597">
        <f>(7323+12588)/10000</f>
        <v>1.9911</v>
      </c>
      <c r="AE17" s="597">
        <v>1.6066</v>
      </c>
      <c r="AF17" s="597">
        <v>1.5106</v>
      </c>
      <c r="AG17" s="597">
        <v>1.5012</v>
      </c>
      <c r="AH17" s="597">
        <v>1.6679</v>
      </c>
      <c r="AI17" s="523">
        <f t="shared" si="22"/>
        <v>19.4506</v>
      </c>
      <c r="AM17" s="605" t="s">
        <v>34</v>
      </c>
      <c r="AN17" s="598">
        <f t="shared" ref="AN17:AX17" si="34">(C17-W17)/W17</f>
        <v>-0.206478209658422</v>
      </c>
      <c r="AO17" s="598">
        <f t="shared" si="34"/>
        <v>0.338496791934005</v>
      </c>
      <c r="AP17" s="598">
        <f t="shared" si="34"/>
        <v>0.0185572078161485</v>
      </c>
      <c r="AQ17" s="598">
        <f t="shared" si="34"/>
        <v>0.0814296714579056</v>
      </c>
      <c r="AR17" s="598">
        <f t="shared" si="34"/>
        <v>0.1007282335503</v>
      </c>
      <c r="AS17" s="598">
        <f t="shared" si="34"/>
        <v>0.0101946815697353</v>
      </c>
      <c r="AT17" s="598">
        <f t="shared" si="34"/>
        <v>-0.00495441934205322</v>
      </c>
      <c r="AU17" s="621">
        <f t="shared" si="34"/>
        <v>-0.00497212596052434</v>
      </c>
      <c r="AV17" s="604">
        <f t="shared" si="34"/>
        <v>0.361073073571518</v>
      </c>
      <c r="AW17" s="604">
        <f t="shared" si="34"/>
        <v>0.356216073083543</v>
      </c>
      <c r="AX17" s="604">
        <f t="shared" si="34"/>
        <v>0.270583533173461</v>
      </c>
      <c r="AY17" s="623">
        <f>(N17-AH17)/AH17</f>
        <v>0.362072066670664</v>
      </c>
      <c r="AZ17" s="624">
        <f>(O17-AI17)/AI17</f>
        <v>0.126325151923334</v>
      </c>
      <c r="BE17" s="605" t="s">
        <v>34</v>
      </c>
      <c r="BF17" s="520">
        <f t="shared" ref="BF17:BJ17" si="35">(C17-W17)/31</f>
        <v>-0.0113096774193548</v>
      </c>
      <c r="BG17" s="520">
        <f t="shared" si="25"/>
        <v>0.0131892857142857</v>
      </c>
      <c r="BH17" s="520">
        <f t="shared" si="35"/>
        <v>0.000974193548387097</v>
      </c>
      <c r="BI17" s="520">
        <f t="shared" ref="BI17:BN17" si="36">(F17-Z17)/30</f>
        <v>0.00423</v>
      </c>
      <c r="BJ17" s="520">
        <f t="shared" si="35"/>
        <v>0.00504193548387096</v>
      </c>
      <c r="BK17" s="520">
        <f t="shared" si="36"/>
        <v>0.000553333333333332</v>
      </c>
      <c r="BL17" s="520">
        <f t="shared" si="26"/>
        <v>-0.000322580645161298</v>
      </c>
      <c r="BM17" s="520">
        <f t="shared" si="32"/>
        <v>-0.000319354838709678</v>
      </c>
      <c r="BN17" s="520">
        <f t="shared" si="36"/>
        <v>0.0193366666666667</v>
      </c>
      <c r="BO17" s="520">
        <f t="shared" ref="BO17:BQ17" si="37">L17-AF17</f>
        <v>0.5381</v>
      </c>
      <c r="BP17" s="520">
        <f t="shared" si="37"/>
        <v>0.4062</v>
      </c>
      <c r="BQ17" s="520">
        <f t="shared" si="37"/>
        <v>0.6039</v>
      </c>
      <c r="BR17" s="602">
        <f t="shared" si="28"/>
        <v>0.00348597798259088</v>
      </c>
    </row>
    <row r="18" customHeight="1" spans="2:70">
      <c r="B18" s="519" t="s">
        <v>35</v>
      </c>
      <c r="C18" s="593">
        <v>3.7244</v>
      </c>
      <c r="D18" s="593">
        <v>3.6513</v>
      </c>
      <c r="E18" s="593">
        <v>4.0369</v>
      </c>
      <c r="F18" s="593">
        <v>3.7831</v>
      </c>
      <c r="G18" s="593">
        <v>3.7946</v>
      </c>
      <c r="H18" s="593">
        <v>3.6574</v>
      </c>
      <c r="I18" s="593">
        <v>4.3626</v>
      </c>
      <c r="J18" s="593">
        <v>4.4063</v>
      </c>
      <c r="K18" s="593">
        <v>4.0603</v>
      </c>
      <c r="L18" s="593">
        <v>3.8598</v>
      </c>
      <c r="M18" s="593">
        <v>3.8259</v>
      </c>
      <c r="N18" s="593">
        <v>4.0713</v>
      </c>
      <c r="O18" s="523">
        <f>SUM(C18:N18)</f>
        <v>47.2339</v>
      </c>
      <c r="P18" s="514">
        <f>M18/30</f>
        <v>0.12753</v>
      </c>
      <c r="Q18" s="512">
        <f>N18/31</f>
        <v>0.131332258064516</v>
      </c>
      <c r="R18" s="512"/>
      <c r="S18" s="594">
        <f>Q18-P18</f>
        <v>0.00380225806451612</v>
      </c>
      <c r="T18" s="606">
        <f>N18/31-AH18/31</f>
        <v>-0.00516774193548386</v>
      </c>
      <c r="U18" s="596">
        <f t="shared" si="21"/>
        <v>9.96060000000001</v>
      </c>
      <c r="V18" s="601" t="s">
        <v>35</v>
      </c>
      <c r="W18" s="597">
        <v>2.3552</v>
      </c>
      <c r="X18" s="597">
        <v>1.6977</v>
      </c>
      <c r="Y18" s="597">
        <v>2.4888</v>
      </c>
      <c r="Z18" s="597">
        <v>2.4351</v>
      </c>
      <c r="AA18" s="597">
        <v>2.4336</v>
      </c>
      <c r="AB18" s="597">
        <v>2.0452</v>
      </c>
      <c r="AC18" s="597">
        <v>2.2413</v>
      </c>
      <c r="AD18" s="597">
        <f>(12202+34965)/10000</f>
        <v>4.7167</v>
      </c>
      <c r="AE18" s="597">
        <v>4.3089</v>
      </c>
      <c r="AF18" s="597">
        <v>4.2109</v>
      </c>
      <c r="AG18" s="597">
        <v>4.1084</v>
      </c>
      <c r="AH18" s="597">
        <v>4.2315</v>
      </c>
      <c r="AI18" s="523">
        <f t="shared" si="22"/>
        <v>37.2733</v>
      </c>
      <c r="AM18" s="601" t="s">
        <v>35</v>
      </c>
      <c r="AN18" s="598">
        <f t="shared" ref="AN18:AX18" si="38">(C18-W18)/W18</f>
        <v>0.581351902173913</v>
      </c>
      <c r="AO18" s="598">
        <f t="shared" si="38"/>
        <v>1.15073334511398</v>
      </c>
      <c r="AP18" s="598">
        <f t="shared" si="38"/>
        <v>0.622026679524269</v>
      </c>
      <c r="AQ18" s="598">
        <f t="shared" si="38"/>
        <v>0.553570695248655</v>
      </c>
      <c r="AR18" s="598">
        <f t="shared" si="38"/>
        <v>0.559253780407626</v>
      </c>
      <c r="AS18" s="598">
        <f t="shared" si="38"/>
        <v>0.788284764326227</v>
      </c>
      <c r="AT18" s="598">
        <f t="shared" si="38"/>
        <v>0.946459643956632</v>
      </c>
      <c r="AU18" s="603">
        <f t="shared" si="38"/>
        <v>-0.0658087221998432</v>
      </c>
      <c r="AV18" s="603">
        <f t="shared" si="38"/>
        <v>-0.0576945392095432</v>
      </c>
      <c r="AW18" s="603">
        <f t="shared" si="38"/>
        <v>-0.0833788501270512</v>
      </c>
      <c r="AX18" s="603">
        <f t="shared" si="38"/>
        <v>-0.0687615616785123</v>
      </c>
      <c r="AY18" s="625">
        <f>(N18-AH18)/AH18</f>
        <v>-0.03785891527827</v>
      </c>
      <c r="AZ18" s="624">
        <f>(O18-AI18)/AI18</f>
        <v>0.267231503515922</v>
      </c>
      <c r="BE18" s="601" t="s">
        <v>35</v>
      </c>
      <c r="BF18" s="520">
        <f t="shared" ref="BF18:BJ18" si="39">(C18-W18)/31</f>
        <v>0.0441677419354839</v>
      </c>
      <c r="BG18" s="520">
        <f t="shared" si="25"/>
        <v>0.0697714285714286</v>
      </c>
      <c r="BH18" s="520">
        <f t="shared" si="39"/>
        <v>0.0499387096774194</v>
      </c>
      <c r="BI18" s="520">
        <f t="shared" ref="BI18:BN18" si="40">(F18-Z18)/30</f>
        <v>0.0449333333333333</v>
      </c>
      <c r="BJ18" s="520">
        <f t="shared" si="39"/>
        <v>0.0439032258064516</v>
      </c>
      <c r="BK18" s="520">
        <f t="shared" si="40"/>
        <v>0.05374</v>
      </c>
      <c r="BL18" s="520">
        <f t="shared" si="26"/>
        <v>0.0684290322580645</v>
      </c>
      <c r="BM18" s="520">
        <f t="shared" si="32"/>
        <v>-0.0100129032258065</v>
      </c>
      <c r="BN18" s="520">
        <f t="shared" si="40"/>
        <v>-0.00828666666666669</v>
      </c>
      <c r="BO18" s="520">
        <f t="shared" ref="BO18:BQ18" si="41">L18-AF18</f>
        <v>-0.3511</v>
      </c>
      <c r="BP18" s="520">
        <f t="shared" si="41"/>
        <v>-0.2825</v>
      </c>
      <c r="BQ18" s="520">
        <f t="shared" si="41"/>
        <v>-0.1602</v>
      </c>
      <c r="BR18" s="602">
        <f t="shared" si="28"/>
        <v>0.0396204335210787</v>
      </c>
    </row>
    <row r="19" customHeight="1" spans="2:70">
      <c r="B19" s="519" t="s">
        <v>36</v>
      </c>
      <c r="C19" s="593">
        <v>2.0531</v>
      </c>
      <c r="D19" s="593">
        <v>2.0444</v>
      </c>
      <c r="E19" s="593">
        <v>2.1216</v>
      </c>
      <c r="F19" s="593">
        <v>2.3083</v>
      </c>
      <c r="G19" s="593">
        <v>2.378</v>
      </c>
      <c r="H19" s="593">
        <v>2.367</v>
      </c>
      <c r="I19" s="593">
        <v>2.5446</v>
      </c>
      <c r="J19" s="593">
        <v>2.3634</v>
      </c>
      <c r="K19" s="593">
        <v>2.2797</v>
      </c>
      <c r="L19" s="593">
        <v>2.3051</v>
      </c>
      <c r="M19" s="593">
        <v>2.2442</v>
      </c>
      <c r="N19" s="593">
        <v>2.3284</v>
      </c>
      <c r="O19" s="523">
        <f>SUM(C19:N19)</f>
        <v>27.3378</v>
      </c>
      <c r="P19" s="514">
        <f>M19/30</f>
        <v>0.0748066666666667</v>
      </c>
      <c r="Q19" s="512">
        <f>N19/31</f>
        <v>0.0751096774193548</v>
      </c>
      <c r="R19" s="512"/>
      <c r="S19" s="594">
        <f>Q19-P19</f>
        <v>0.000303010752688154</v>
      </c>
      <c r="T19" s="595">
        <f>N19/31-AH19/31</f>
        <v>0.00266774193548387</v>
      </c>
      <c r="U19" s="596">
        <f t="shared" si="21"/>
        <v>0.539899999999999</v>
      </c>
      <c r="V19" s="601" t="s">
        <v>36</v>
      </c>
      <c r="W19" s="597">
        <v>2.2345</v>
      </c>
      <c r="X19" s="597">
        <v>1.4494</v>
      </c>
      <c r="Y19" s="597">
        <v>2.2993</v>
      </c>
      <c r="Z19" s="597">
        <v>2.3248</v>
      </c>
      <c r="AA19" s="597">
        <v>2.4707</v>
      </c>
      <c r="AB19" s="597">
        <v>2.1969</v>
      </c>
      <c r="AC19" s="597">
        <v>2.3112</v>
      </c>
      <c r="AD19" s="597">
        <f>(6496+16467)/10000</f>
        <v>2.2963</v>
      </c>
      <c r="AE19" s="597">
        <v>2.1707</v>
      </c>
      <c r="AF19" s="597">
        <v>2.4228</v>
      </c>
      <c r="AG19" s="597">
        <v>2.3756</v>
      </c>
      <c r="AH19" s="597">
        <v>2.2457</v>
      </c>
      <c r="AI19" s="523">
        <f t="shared" si="22"/>
        <v>26.7979</v>
      </c>
      <c r="AM19" s="601" t="s">
        <v>36</v>
      </c>
      <c r="AN19" s="598">
        <f t="shared" ref="AN19:AX19" si="42">(C19-W19)/W19</f>
        <v>-0.0811814723651824</v>
      </c>
      <c r="AO19" s="598">
        <f t="shared" si="42"/>
        <v>0.410514695736167</v>
      </c>
      <c r="AP19" s="598">
        <f t="shared" si="42"/>
        <v>-0.0772843909015788</v>
      </c>
      <c r="AQ19" s="598">
        <f t="shared" si="42"/>
        <v>-0.00709738472126642</v>
      </c>
      <c r="AR19" s="598">
        <f t="shared" si="42"/>
        <v>-0.0375197312502529</v>
      </c>
      <c r="AS19" s="604">
        <f t="shared" si="42"/>
        <v>0.077427283900041</v>
      </c>
      <c r="AT19" s="604">
        <f t="shared" si="42"/>
        <v>0.100986500519211</v>
      </c>
      <c r="AU19" s="604">
        <f t="shared" si="42"/>
        <v>0.0292209206114183</v>
      </c>
      <c r="AV19" s="604">
        <f t="shared" si="42"/>
        <v>0.0502142166121528</v>
      </c>
      <c r="AW19" s="603">
        <f t="shared" si="42"/>
        <v>-0.0485801551923395</v>
      </c>
      <c r="AX19" s="603">
        <f t="shared" si="42"/>
        <v>-0.0553123421451422</v>
      </c>
      <c r="AY19" s="604">
        <f>(N19-AH19)/AH19</f>
        <v>0.0368259340072138</v>
      </c>
      <c r="AZ19" s="624">
        <f>(O19-AI19)/AI19</f>
        <v>0.0201471010788159</v>
      </c>
      <c r="BE19" s="601" t="s">
        <v>36</v>
      </c>
      <c r="BF19" s="520">
        <f t="shared" ref="BF19:BJ19" si="43">(C19-W19)/31</f>
        <v>-0.00585161290322581</v>
      </c>
      <c r="BG19" s="520">
        <f t="shared" si="25"/>
        <v>0.02125</v>
      </c>
      <c r="BH19" s="520">
        <f t="shared" si="43"/>
        <v>-0.00573225806451614</v>
      </c>
      <c r="BI19" s="520">
        <f t="shared" ref="BI19:BN19" si="44">(F19-Z19)/30</f>
        <v>-0.000550000000000006</v>
      </c>
      <c r="BJ19" s="520">
        <f t="shared" si="43"/>
        <v>-0.00299032258064515</v>
      </c>
      <c r="BK19" s="520">
        <f t="shared" si="44"/>
        <v>0.00567</v>
      </c>
      <c r="BL19" s="520">
        <f t="shared" si="26"/>
        <v>0.00752903225806452</v>
      </c>
      <c r="BM19" s="520">
        <f t="shared" si="32"/>
        <v>0.00216451612903226</v>
      </c>
      <c r="BN19" s="520">
        <f t="shared" si="44"/>
        <v>0.00363333333333333</v>
      </c>
      <c r="BO19" s="520">
        <f t="shared" ref="BO19:BQ19" si="45">L19-AF19</f>
        <v>-0.1177</v>
      </c>
      <c r="BP19" s="520">
        <f t="shared" si="45"/>
        <v>-0.1314</v>
      </c>
      <c r="BQ19" s="520">
        <f t="shared" si="45"/>
        <v>0.0827</v>
      </c>
      <c r="BR19" s="602">
        <f t="shared" si="28"/>
        <v>0.00279140979689367</v>
      </c>
    </row>
    <row r="20" customHeight="1" spans="2:70">
      <c r="B20" s="537" t="s">
        <v>14</v>
      </c>
      <c r="C20" s="626">
        <f>SUM(C15:C19)</f>
        <v>9.4188</v>
      </c>
      <c r="D20" s="626">
        <f t="shared" ref="D20:O20" si="46">SUM(D15:D19)</f>
        <v>9.4256</v>
      </c>
      <c r="E20" s="626">
        <f t="shared" si="46"/>
        <v>10.4594</v>
      </c>
      <c r="F20" s="626">
        <f t="shared" si="46"/>
        <v>10.3941</v>
      </c>
      <c r="G20" s="626">
        <f t="shared" si="46"/>
        <v>10.6237</v>
      </c>
      <c r="H20" s="626">
        <f t="shared" si="46"/>
        <v>10.0357</v>
      </c>
      <c r="I20" s="626">
        <f t="shared" si="46"/>
        <v>11.7483</v>
      </c>
      <c r="J20" s="626">
        <f t="shared" si="46"/>
        <v>11.3891</v>
      </c>
      <c r="K20" s="626">
        <f t="shared" si="46"/>
        <v>11.002</v>
      </c>
      <c r="L20" s="626">
        <f t="shared" si="46"/>
        <v>10.7165</v>
      </c>
      <c r="M20" s="626">
        <f>SUM(M15:M19)</f>
        <v>10.6221</v>
      </c>
      <c r="N20" s="626">
        <f>SUM(N15:N19)</f>
        <v>11.756</v>
      </c>
      <c r="O20" s="627">
        <f>SUM(O15:O19)</f>
        <v>127.5913</v>
      </c>
      <c r="P20" s="608">
        <f>M20/30</f>
        <v>0.35407</v>
      </c>
      <c r="Q20" s="533">
        <f>N20/31</f>
        <v>0.379225806451613</v>
      </c>
      <c r="R20" s="533"/>
      <c r="S20" s="609">
        <f>Q20-P20</f>
        <v>0.0251558064516129</v>
      </c>
      <c r="T20" s="610">
        <f>N20/31-AH20/31</f>
        <v>0.0351967741935484</v>
      </c>
      <c r="U20" s="596">
        <f t="shared" si="21"/>
        <v>12.4348</v>
      </c>
      <c r="V20" s="613" t="s">
        <v>14</v>
      </c>
      <c r="W20" s="533">
        <f t="shared" ref="W20:AH20" si="47">SUM(W15:W19)</f>
        <v>9.2176</v>
      </c>
      <c r="X20" s="533">
        <f t="shared" si="47"/>
        <v>6.0296</v>
      </c>
      <c r="Y20" s="533">
        <f t="shared" si="47"/>
        <v>9.3724</v>
      </c>
      <c r="Z20" s="533">
        <f t="shared" si="47"/>
        <v>9.1206</v>
      </c>
      <c r="AA20" s="533">
        <f t="shared" si="47"/>
        <v>9.2545</v>
      </c>
      <c r="AB20" s="533">
        <f t="shared" si="47"/>
        <v>8.4451</v>
      </c>
      <c r="AC20" s="533">
        <f t="shared" si="47"/>
        <v>9.6771</v>
      </c>
      <c r="AD20" s="533">
        <f t="shared" si="47"/>
        <v>11.622</v>
      </c>
      <c r="AE20" s="533">
        <f t="shared" si="47"/>
        <v>10.5593</v>
      </c>
      <c r="AF20" s="533">
        <f t="shared" si="47"/>
        <v>10.6649</v>
      </c>
      <c r="AG20" s="533">
        <f>SUM(AG15:AG19)</f>
        <v>10.5285</v>
      </c>
      <c r="AH20" s="533">
        <f>SUM(AH15:AH19)</f>
        <v>10.6649</v>
      </c>
      <c r="AI20" s="536">
        <f>SUM(AI15:AI19)</f>
        <v>115.1565</v>
      </c>
      <c r="AM20" s="613" t="s">
        <v>14</v>
      </c>
      <c r="AN20" s="611">
        <f>(C20-W20)/C20</f>
        <v>0.0213615322546397</v>
      </c>
      <c r="AO20" s="611">
        <f t="shared" ref="AO20:AY20" si="48">(D20-X20)/D20</f>
        <v>0.360295365812256</v>
      </c>
      <c r="AP20" s="611">
        <f t="shared" si="48"/>
        <v>0.103925655391323</v>
      </c>
      <c r="AQ20" s="611">
        <f t="shared" si="48"/>
        <v>0.122521430426877</v>
      </c>
      <c r="AR20" s="611">
        <f t="shared" si="48"/>
        <v>0.128881651402054</v>
      </c>
      <c r="AS20" s="611">
        <f t="shared" si="48"/>
        <v>0.158494175792421</v>
      </c>
      <c r="AT20" s="611">
        <f t="shared" si="48"/>
        <v>0.176297847348127</v>
      </c>
      <c r="AU20" s="611">
        <f t="shared" si="48"/>
        <v>-0.0204493770359379</v>
      </c>
      <c r="AV20" s="611">
        <f t="shared" si="48"/>
        <v>0.0402381385202691</v>
      </c>
      <c r="AW20" s="611">
        <f t="shared" si="48"/>
        <v>0.00481500489898743</v>
      </c>
      <c r="AX20" s="611">
        <f t="shared" si="48"/>
        <v>0.0088118168723699</v>
      </c>
      <c r="AY20" s="611">
        <f t="shared" si="48"/>
        <v>0.0928121810139504</v>
      </c>
      <c r="AZ20" s="612">
        <f>(O20-AI20)/AI20</f>
        <v>0.107981746579655</v>
      </c>
      <c r="BE20" s="613" t="s">
        <v>14</v>
      </c>
      <c r="BF20" s="614">
        <f t="shared" ref="BF20:BJ20" si="49">(C20-W20)/31</f>
        <v>0.00649032258064516</v>
      </c>
      <c r="BG20" s="614">
        <f t="shared" si="25"/>
        <v>0.121285714285714</v>
      </c>
      <c r="BH20" s="614">
        <f t="shared" si="49"/>
        <v>0.0350645161290323</v>
      </c>
      <c r="BI20" s="614">
        <f t="shared" ref="BI20:BN20" si="50">(F20-Z20)/30</f>
        <v>0.04245</v>
      </c>
      <c r="BJ20" s="614">
        <f t="shared" si="49"/>
        <v>0.0441677419354838</v>
      </c>
      <c r="BK20" s="614">
        <f t="shared" si="50"/>
        <v>0.0530199999999999</v>
      </c>
      <c r="BL20" s="614">
        <f t="shared" si="26"/>
        <v>0.0668129032258065</v>
      </c>
      <c r="BM20" s="614">
        <f t="shared" si="32"/>
        <v>-0.00751290322580648</v>
      </c>
      <c r="BN20" s="614">
        <f t="shared" si="50"/>
        <v>0.0147566666666667</v>
      </c>
      <c r="BO20" s="614">
        <f t="shared" ref="BO20:BQ20" si="51">L20-AF20</f>
        <v>0.0515999999999988</v>
      </c>
      <c r="BP20" s="614">
        <f t="shared" si="51"/>
        <v>0.0936000000000003</v>
      </c>
      <c r="BQ20" s="614">
        <f t="shared" si="51"/>
        <v>1.0911</v>
      </c>
      <c r="BR20" s="615">
        <f t="shared" si="28"/>
        <v>0.0418372179552825</v>
      </c>
    </row>
    <row r="22" customHeight="1" spans="2:70">
      <c r="B22" s="570" t="s">
        <v>42</v>
      </c>
      <c r="C22" s="570"/>
      <c r="D22" s="570"/>
      <c r="E22" s="570"/>
      <c r="F22" s="570"/>
      <c r="G22" s="570"/>
      <c r="H22" s="570"/>
      <c r="I22" s="570"/>
      <c r="J22" s="570"/>
      <c r="K22" s="570"/>
      <c r="L22" s="570"/>
      <c r="M22" s="570"/>
      <c r="N22" s="570"/>
      <c r="O22" s="570"/>
      <c r="T22" s="571"/>
      <c r="U22" s="571"/>
      <c r="V22" s="570" t="s">
        <v>43</v>
      </c>
      <c r="W22" s="570"/>
      <c r="X22" s="570"/>
      <c r="Y22" s="570"/>
      <c r="Z22" s="570"/>
      <c r="AA22" s="570"/>
      <c r="AB22" s="570"/>
      <c r="AC22" s="570"/>
      <c r="AD22" s="570"/>
      <c r="AE22" s="570"/>
      <c r="AF22" s="570"/>
      <c r="AG22" s="570"/>
      <c r="AH22" s="570"/>
      <c r="AI22" s="570"/>
      <c r="AM22" s="570" t="s">
        <v>44</v>
      </c>
      <c r="AN22" s="570"/>
      <c r="AO22" s="570"/>
      <c r="AP22" s="570"/>
      <c r="AQ22" s="570"/>
      <c r="AR22" s="570"/>
      <c r="AS22" s="570"/>
      <c r="AT22" s="570"/>
      <c r="AU22" s="570"/>
      <c r="AV22" s="570"/>
      <c r="AW22" s="570"/>
      <c r="AX22" s="570"/>
      <c r="AY22" s="570"/>
      <c r="AZ22" s="570"/>
      <c r="BE22" s="570" t="s">
        <v>45</v>
      </c>
      <c r="BF22" s="570"/>
      <c r="BG22" s="570"/>
      <c r="BH22" s="570"/>
      <c r="BI22" s="570"/>
      <c r="BJ22" s="570"/>
      <c r="BK22" s="570"/>
      <c r="BL22" s="570"/>
      <c r="BM22" s="570"/>
      <c r="BN22" s="570"/>
      <c r="BO22" s="570"/>
      <c r="BP22" s="570"/>
      <c r="BQ22" s="570"/>
      <c r="BR22" s="570"/>
    </row>
    <row r="23" ht="12" customHeight="1" spans="2:70">
      <c r="B23" s="572" t="s">
        <v>26</v>
      </c>
      <c r="C23" s="573" t="s">
        <v>2</v>
      </c>
      <c r="D23" s="573" t="s">
        <v>3</v>
      </c>
      <c r="E23" s="573" t="s">
        <v>4</v>
      </c>
      <c r="F23" s="573" t="s">
        <v>5</v>
      </c>
      <c r="G23" s="573" t="s">
        <v>6</v>
      </c>
      <c r="H23" s="573" t="s">
        <v>7</v>
      </c>
      <c r="I23" s="573" t="s">
        <v>8</v>
      </c>
      <c r="J23" s="573" t="s">
        <v>9</v>
      </c>
      <c r="K23" s="573" t="s">
        <v>10</v>
      </c>
      <c r="L23" s="573" t="s">
        <v>11</v>
      </c>
      <c r="M23" s="573" t="s">
        <v>12</v>
      </c>
      <c r="N23" s="573" t="s">
        <v>13</v>
      </c>
      <c r="O23" s="574" t="s">
        <v>14</v>
      </c>
      <c r="P23" s="628" t="s">
        <v>46</v>
      </c>
      <c r="Q23" s="629" t="s">
        <v>47</v>
      </c>
      <c r="R23" s="630"/>
      <c r="S23" s="631" t="s">
        <v>31</v>
      </c>
      <c r="T23" s="578"/>
      <c r="U23" s="578"/>
      <c r="V23" s="579" t="s">
        <v>26</v>
      </c>
      <c r="W23" s="580" t="s">
        <v>2</v>
      </c>
      <c r="X23" s="580" t="s">
        <v>3</v>
      </c>
      <c r="Y23" s="580" t="s">
        <v>4</v>
      </c>
      <c r="Z23" s="580" t="s">
        <v>5</v>
      </c>
      <c r="AA23" s="632" t="s">
        <v>6</v>
      </c>
      <c r="AB23" s="632" t="s">
        <v>7</v>
      </c>
      <c r="AC23" s="632" t="s">
        <v>8</v>
      </c>
      <c r="AD23" s="632" t="s">
        <v>9</v>
      </c>
      <c r="AE23" s="632" t="s">
        <v>10</v>
      </c>
      <c r="AF23" s="632" t="s">
        <v>11</v>
      </c>
      <c r="AG23" s="632" t="s">
        <v>12</v>
      </c>
      <c r="AH23" s="632" t="s">
        <v>13</v>
      </c>
      <c r="AI23" s="581" t="s">
        <v>14</v>
      </c>
      <c r="AM23" s="579" t="s">
        <v>26</v>
      </c>
      <c r="AN23" s="580" t="s">
        <v>2</v>
      </c>
      <c r="AO23" s="580" t="s">
        <v>3</v>
      </c>
      <c r="AP23" s="580" t="s">
        <v>4</v>
      </c>
      <c r="AQ23" s="580" t="s">
        <v>5</v>
      </c>
      <c r="AR23" s="580" t="s">
        <v>6</v>
      </c>
      <c r="AS23" s="580" t="s">
        <v>7</v>
      </c>
      <c r="AT23" s="580" t="s">
        <v>8</v>
      </c>
      <c r="AU23" s="580" t="s">
        <v>9</v>
      </c>
      <c r="AV23" s="580" t="s">
        <v>10</v>
      </c>
      <c r="AW23" s="580" t="s">
        <v>11</v>
      </c>
      <c r="AX23" s="580" t="s">
        <v>12</v>
      </c>
      <c r="AY23" s="580" t="s">
        <v>13</v>
      </c>
      <c r="AZ23" s="581" t="s">
        <v>14</v>
      </c>
      <c r="BE23" s="579" t="s">
        <v>26</v>
      </c>
      <c r="BF23" s="580" t="s">
        <v>2</v>
      </c>
      <c r="BG23" s="580" t="s">
        <v>3</v>
      </c>
      <c r="BH23" s="580" t="s">
        <v>4</v>
      </c>
      <c r="BI23" s="580" t="s">
        <v>5</v>
      </c>
      <c r="BJ23" s="632" t="s">
        <v>6</v>
      </c>
      <c r="BK23" s="632" t="s">
        <v>7</v>
      </c>
      <c r="BL23" s="632" t="s">
        <v>8</v>
      </c>
      <c r="BM23" s="632" t="s">
        <v>9</v>
      </c>
      <c r="BN23" s="632" t="s">
        <v>10</v>
      </c>
      <c r="BO23" s="632" t="s">
        <v>11</v>
      </c>
      <c r="BP23" s="632" t="s">
        <v>12</v>
      </c>
      <c r="BQ23" s="632" t="s">
        <v>13</v>
      </c>
      <c r="BR23" s="581" t="s">
        <v>41</v>
      </c>
    </row>
    <row r="24" ht="23" customHeight="1" spans="2:70">
      <c r="B24" s="583"/>
      <c r="C24" s="584"/>
      <c r="D24" s="584"/>
      <c r="E24" s="584"/>
      <c r="F24" s="584"/>
      <c r="G24" s="584"/>
      <c r="H24" s="584"/>
      <c r="I24" s="584"/>
      <c r="J24" s="584"/>
      <c r="K24" s="584"/>
      <c r="L24" s="584"/>
      <c r="M24" s="584"/>
      <c r="N24" s="584"/>
      <c r="O24" s="585"/>
      <c r="P24" s="633"/>
      <c r="Q24" s="634"/>
      <c r="R24" s="635"/>
      <c r="S24" s="631"/>
      <c r="T24" s="578"/>
      <c r="U24" s="578"/>
      <c r="V24" s="589"/>
      <c r="W24" s="590"/>
      <c r="X24" s="590"/>
      <c r="Y24" s="590"/>
      <c r="Z24" s="590"/>
      <c r="AA24" s="636"/>
      <c r="AB24" s="636"/>
      <c r="AC24" s="636"/>
      <c r="AD24" s="636"/>
      <c r="AE24" s="636"/>
      <c r="AF24" s="636"/>
      <c r="AG24" s="636"/>
      <c r="AH24" s="636"/>
      <c r="AI24" s="591"/>
      <c r="AM24" s="589"/>
      <c r="AN24" s="590"/>
      <c r="AO24" s="590"/>
      <c r="AP24" s="590"/>
      <c r="AQ24" s="590"/>
      <c r="AR24" s="590"/>
      <c r="AS24" s="590"/>
      <c r="AT24" s="590"/>
      <c r="AU24" s="590"/>
      <c r="AV24" s="590"/>
      <c r="AW24" s="590"/>
      <c r="AX24" s="590"/>
      <c r="AY24" s="590"/>
      <c r="AZ24" s="591"/>
      <c r="BE24" s="589"/>
      <c r="BF24" s="590"/>
      <c r="BG24" s="590"/>
      <c r="BH24" s="590"/>
      <c r="BI24" s="590"/>
      <c r="BJ24" s="636"/>
      <c r="BK24" s="636"/>
      <c r="BL24" s="636"/>
      <c r="BM24" s="636"/>
      <c r="BN24" s="636"/>
      <c r="BO24" s="636"/>
      <c r="BP24" s="636"/>
      <c r="BQ24" s="636"/>
      <c r="BR24" s="591"/>
    </row>
    <row r="25" customHeight="1" spans="2:70">
      <c r="B25" s="519" t="s">
        <v>32</v>
      </c>
      <c r="C25" s="511">
        <f t="shared" ref="C25:C30" si="52">C5/C15</f>
        <v>9.34772905497319</v>
      </c>
      <c r="D25" s="511">
        <f t="shared" ref="D25:K25" si="53">D5/D15</f>
        <v>9.49441590720795</v>
      </c>
      <c r="E25" s="511">
        <f t="shared" si="53"/>
        <v>9.27023056057866</v>
      </c>
      <c r="F25" s="511">
        <f t="shared" si="53"/>
        <v>9.19483125430474</v>
      </c>
      <c r="G25" s="511">
        <f t="shared" si="53"/>
        <v>9.35672025021821</v>
      </c>
      <c r="H25" s="511">
        <f t="shared" si="53"/>
        <v>9.28898794768784</v>
      </c>
      <c r="I25" s="511">
        <f t="shared" si="53"/>
        <v>9.35390843577787</v>
      </c>
      <c r="J25" s="511">
        <f t="shared" si="53"/>
        <v>9.44236949498385</v>
      </c>
      <c r="K25" s="511">
        <f t="shared" si="53"/>
        <v>8.94114058584637</v>
      </c>
      <c r="L25" s="511">
        <v>9.3513639220616</v>
      </c>
      <c r="M25" s="511">
        <v>9.40202699304217</v>
      </c>
      <c r="N25" s="511">
        <v>9.64455157240844</v>
      </c>
      <c r="O25" s="561">
        <f>O5/O15</f>
        <v>9.34740683372494</v>
      </c>
      <c r="P25" s="637">
        <f>N25-M25</f>
        <v>0.24252457936627</v>
      </c>
      <c r="Q25" s="638">
        <f>N25-AH25</f>
        <v>0.39914031367255</v>
      </c>
      <c r="R25" s="639"/>
      <c r="S25" s="494">
        <f>O25-AI25</f>
        <v>-0.0262521659729806</v>
      </c>
      <c r="T25" s="640"/>
      <c r="U25" s="640"/>
      <c r="V25" s="519" t="s">
        <v>32</v>
      </c>
      <c r="W25" s="511">
        <f>W5/W15</f>
        <v>9.3683355006502</v>
      </c>
      <c r="X25" s="511">
        <f t="shared" ref="W25:AE25" si="54">X5/X15</f>
        <v>10.1146446593776</v>
      </c>
      <c r="Y25" s="511">
        <f t="shared" si="54"/>
        <v>9.4027673516127</v>
      </c>
      <c r="Z25" s="511">
        <f t="shared" si="54"/>
        <v>9.31014554794521</v>
      </c>
      <c r="AA25" s="511">
        <f t="shared" si="54"/>
        <v>9.39539118862506</v>
      </c>
      <c r="AB25" s="511">
        <f t="shared" si="54"/>
        <v>9.37730202578269</v>
      </c>
      <c r="AC25" s="511">
        <f t="shared" si="54"/>
        <v>9.57254429832685</v>
      </c>
      <c r="AD25" s="511">
        <f t="shared" si="54"/>
        <v>9.31170503316426</v>
      </c>
      <c r="AE25" s="511">
        <f t="shared" si="54"/>
        <v>9.0752770811423</v>
      </c>
      <c r="AF25" s="511">
        <v>9.27815226011102</v>
      </c>
      <c r="AG25" s="511">
        <v>9.16596337879587</v>
      </c>
      <c r="AH25" s="511">
        <v>9.24541125873589</v>
      </c>
      <c r="AI25" s="561">
        <f>AI5/AI15</f>
        <v>9.37365899969793</v>
      </c>
      <c r="AM25" s="519" t="s">
        <v>32</v>
      </c>
      <c r="AN25" s="511">
        <f>C25-W25</f>
        <v>-0.0206064456770019</v>
      </c>
      <c r="AO25" s="511">
        <f t="shared" ref="AO25:AY25" si="55">D25-X25</f>
        <v>-0.620228752169675</v>
      </c>
      <c r="AP25" s="511">
        <f t="shared" si="55"/>
        <v>-0.132536791034035</v>
      </c>
      <c r="AQ25" s="511">
        <f t="shared" si="55"/>
        <v>-0.115314293640468</v>
      </c>
      <c r="AR25" s="511">
        <f t="shared" si="55"/>
        <v>-0.0386709384068489</v>
      </c>
      <c r="AS25" s="511">
        <f t="shared" si="55"/>
        <v>-0.0883140780948519</v>
      </c>
      <c r="AT25" s="511">
        <f t="shared" si="55"/>
        <v>-0.218635862548979</v>
      </c>
      <c r="AU25" s="511">
        <f t="shared" si="55"/>
        <v>0.130664461819586</v>
      </c>
      <c r="AV25" s="511">
        <f t="shared" si="55"/>
        <v>-0.134136495295936</v>
      </c>
      <c r="AW25" s="641">
        <f t="shared" si="55"/>
        <v>0.0732116619505803</v>
      </c>
      <c r="AX25" s="641">
        <f t="shared" si="55"/>
        <v>0.2360636142463</v>
      </c>
      <c r="AY25" s="641">
        <f>N25-AH25</f>
        <v>0.39914031367255</v>
      </c>
      <c r="AZ25" s="561">
        <f>O25-AI25</f>
        <v>-0.0262521659729806</v>
      </c>
      <c r="BE25" s="519" t="s">
        <v>32</v>
      </c>
      <c r="BF25" s="511">
        <f t="shared" ref="BF25:BF30" si="56">W25-C25</f>
        <v>0.0206064456770019</v>
      </c>
      <c r="BG25" s="511">
        <f t="shared" ref="BG25:BN25" si="57">X25-D25</f>
        <v>0.620228752169675</v>
      </c>
      <c r="BH25" s="511">
        <f t="shared" si="57"/>
        <v>0.132536791034035</v>
      </c>
      <c r="BI25" s="511">
        <f t="shared" si="57"/>
        <v>0.115314293640468</v>
      </c>
      <c r="BJ25" s="511">
        <f t="shared" si="57"/>
        <v>0.0386709384068489</v>
      </c>
      <c r="BK25" s="511">
        <f t="shared" si="57"/>
        <v>0.0883140780948519</v>
      </c>
      <c r="BL25" s="511">
        <f t="shared" si="57"/>
        <v>0.218635862548979</v>
      </c>
      <c r="BM25" s="511">
        <f t="shared" si="57"/>
        <v>-0.130664461819586</v>
      </c>
      <c r="BN25" s="511">
        <f t="shared" si="57"/>
        <v>0.134136495295936</v>
      </c>
      <c r="BO25" s="511">
        <f>AF25-L25</f>
        <v>-0.0732116619505803</v>
      </c>
      <c r="BP25" s="511">
        <f>AG25-M25</f>
        <v>-0.2360636142463</v>
      </c>
      <c r="BQ25" s="511">
        <f>AH25-N25</f>
        <v>-0.39914031367255</v>
      </c>
      <c r="BR25" s="561">
        <f t="shared" ref="BR25:BR30" si="58">AVERAGE(BF25:BQ25)</f>
        <v>0.0441136337648982</v>
      </c>
    </row>
    <row r="26" customHeight="1" spans="2:70">
      <c r="B26" s="519" t="s">
        <v>33</v>
      </c>
      <c r="C26" s="511">
        <f t="shared" si="52"/>
        <v>10.5813158398774</v>
      </c>
      <c r="D26" s="511">
        <f t="shared" ref="D26:K26" si="59">D6/D16</f>
        <v>10.6342800677583</v>
      </c>
      <c r="E26" s="511">
        <f t="shared" si="59"/>
        <v>10.3099779652002</v>
      </c>
      <c r="F26" s="511">
        <f t="shared" si="59"/>
        <v>10.5148790722515</v>
      </c>
      <c r="G26" s="511">
        <f t="shared" si="59"/>
        <v>10.5240948622378</v>
      </c>
      <c r="H26" s="511">
        <f t="shared" si="59"/>
        <v>10.5008132051818</v>
      </c>
      <c r="I26" s="511">
        <f t="shared" si="59"/>
        <v>10.6270098073802</v>
      </c>
      <c r="J26" s="511">
        <f t="shared" si="59"/>
        <v>10.8012120383037</v>
      </c>
      <c r="K26" s="511">
        <f t="shared" si="59"/>
        <v>10.2947207890744</v>
      </c>
      <c r="L26" s="641">
        <v>10.7687266052404</v>
      </c>
      <c r="M26" s="641">
        <v>10.9580836260935</v>
      </c>
      <c r="N26" s="641">
        <v>11.5277603794425</v>
      </c>
      <c r="O26" s="562">
        <f>O6/O16</f>
        <v>10.6890258697254</v>
      </c>
      <c r="P26" s="637">
        <f>N26-M26</f>
        <v>0.569676753348999</v>
      </c>
      <c r="Q26" s="638">
        <f>N26-AH26</f>
        <v>1.0090776168573</v>
      </c>
      <c r="R26" s="639"/>
      <c r="S26" s="494">
        <f>O26-AI26</f>
        <v>0.011870630196702</v>
      </c>
      <c r="T26" s="640"/>
      <c r="U26" s="640"/>
      <c r="V26" s="519" t="s">
        <v>33</v>
      </c>
      <c r="W26" s="511">
        <f t="shared" ref="W26:AE26" si="60">W6/W16</f>
        <v>10.311516631942</v>
      </c>
      <c r="X26" s="511">
        <f t="shared" si="60"/>
        <v>11.8037010591455</v>
      </c>
      <c r="Y26" s="511">
        <f t="shared" si="60"/>
        <v>10.7726714801444</v>
      </c>
      <c r="Z26" s="511">
        <f t="shared" si="60"/>
        <v>10.4564146498179</v>
      </c>
      <c r="AA26" s="511">
        <f t="shared" si="60"/>
        <v>10.7004668806536</v>
      </c>
      <c r="AB26" s="511">
        <f t="shared" si="60"/>
        <v>10.6453794730633</v>
      </c>
      <c r="AC26" s="511">
        <f t="shared" si="60"/>
        <v>10.8432896064581</v>
      </c>
      <c r="AD26" s="511">
        <f t="shared" si="60"/>
        <v>10.9516985932356</v>
      </c>
      <c r="AE26" s="511">
        <f t="shared" si="60"/>
        <v>10.3596200485044</v>
      </c>
      <c r="AF26" s="511">
        <v>10.5941965703398</v>
      </c>
      <c r="AG26" s="511">
        <v>10.5324782108206</v>
      </c>
      <c r="AH26" s="511">
        <v>10.5186827625852</v>
      </c>
      <c r="AI26" s="561">
        <f>AI6/AI16</f>
        <v>10.6771552395287</v>
      </c>
      <c r="AM26" s="519" t="s">
        <v>33</v>
      </c>
      <c r="AN26" s="511">
        <f t="shared" ref="AN26:AX26" si="61">C26-W26</f>
        <v>0.269799207935469</v>
      </c>
      <c r="AO26" s="511">
        <f t="shared" si="61"/>
        <v>-1.16942099138721</v>
      </c>
      <c r="AP26" s="511">
        <f t="shared" si="61"/>
        <v>-0.462693514944192</v>
      </c>
      <c r="AQ26" s="511">
        <f t="shared" si="61"/>
        <v>0.05846442243352</v>
      </c>
      <c r="AR26" s="511">
        <f t="shared" si="61"/>
        <v>-0.176372018415821</v>
      </c>
      <c r="AS26" s="511">
        <f t="shared" si="61"/>
        <v>-0.14456626788153</v>
      </c>
      <c r="AT26" s="511">
        <f t="shared" si="61"/>
        <v>-0.216279799077894</v>
      </c>
      <c r="AU26" s="511">
        <f t="shared" si="61"/>
        <v>-0.150486554931863</v>
      </c>
      <c r="AV26" s="511">
        <f t="shared" si="61"/>
        <v>-0.0648992594300886</v>
      </c>
      <c r="AW26" s="641">
        <f t="shared" si="61"/>
        <v>0.174530034900599</v>
      </c>
      <c r="AX26" s="641">
        <f t="shared" si="61"/>
        <v>0.425605415272901</v>
      </c>
      <c r="AY26" s="641">
        <f>N26-AH26</f>
        <v>1.0090776168573</v>
      </c>
      <c r="AZ26" s="561">
        <f>O26-AI26</f>
        <v>0.011870630196702</v>
      </c>
      <c r="BE26" s="519" t="s">
        <v>33</v>
      </c>
      <c r="BF26" s="511">
        <f t="shared" si="56"/>
        <v>-0.269799207935469</v>
      </c>
      <c r="BG26" s="511">
        <f t="shared" ref="BG26:BN26" si="62">X26-D26</f>
        <v>1.16942099138721</v>
      </c>
      <c r="BH26" s="511">
        <f t="shared" si="62"/>
        <v>0.462693514944192</v>
      </c>
      <c r="BI26" s="511">
        <f t="shared" si="62"/>
        <v>-0.05846442243352</v>
      </c>
      <c r="BJ26" s="511">
        <f t="shared" si="62"/>
        <v>0.176372018415821</v>
      </c>
      <c r="BK26" s="511">
        <f t="shared" si="62"/>
        <v>0.14456626788153</v>
      </c>
      <c r="BL26" s="511">
        <f t="shared" si="62"/>
        <v>0.216279799077894</v>
      </c>
      <c r="BM26" s="511">
        <f t="shared" si="62"/>
        <v>0.150486554931863</v>
      </c>
      <c r="BN26" s="511">
        <f>AE26-K26</f>
        <v>0.0648992594300886</v>
      </c>
      <c r="BO26" s="511">
        <f>AF26-L26</f>
        <v>-0.174530034900599</v>
      </c>
      <c r="BP26" s="511">
        <f>AG26-M26</f>
        <v>-0.425605415272901</v>
      </c>
      <c r="BQ26" s="511">
        <f>AH26-N26</f>
        <v>-1.0090776168573</v>
      </c>
      <c r="BR26" s="561">
        <f t="shared" si="58"/>
        <v>0.0372701423890677</v>
      </c>
    </row>
    <row r="27" customHeight="1" spans="2:70">
      <c r="B27" s="532" t="s">
        <v>34</v>
      </c>
      <c r="C27" s="511">
        <f t="shared" si="52"/>
        <v>10.0953688585424</v>
      </c>
      <c r="D27" s="511">
        <f t="shared" ref="D27:K27" si="63">D7/D17</f>
        <v>9.98421557214271</v>
      </c>
      <c r="E27" s="511">
        <f t="shared" si="63"/>
        <v>10.0440697393822</v>
      </c>
      <c r="F27" s="642">
        <f t="shared" si="63"/>
        <v>9.68730789770367</v>
      </c>
      <c r="G27" s="642">
        <f t="shared" si="63"/>
        <v>9.62358255269321</v>
      </c>
      <c r="H27" s="642">
        <f t="shared" si="63"/>
        <v>9.54447565201532</v>
      </c>
      <c r="I27" s="642">
        <f t="shared" si="63"/>
        <v>9.66505327623979</v>
      </c>
      <c r="J27" s="642">
        <f t="shared" si="63"/>
        <v>9.62422975974157</v>
      </c>
      <c r="K27" s="641">
        <f t="shared" si="63"/>
        <v>10.1516915900672</v>
      </c>
      <c r="L27" s="641">
        <v>10.4610992336604</v>
      </c>
      <c r="M27" s="641">
        <v>10.359068365314</v>
      </c>
      <c r="N27" s="641">
        <v>10.9332533673739</v>
      </c>
      <c r="O27" s="561">
        <f>O7/O17</f>
        <v>10.0421556804229</v>
      </c>
      <c r="P27" s="637">
        <f>N27-M27</f>
        <v>0.574185002059901</v>
      </c>
      <c r="Q27" s="638">
        <f>N27-AH27</f>
        <v>0.741994898640801</v>
      </c>
      <c r="R27" s="639"/>
      <c r="S27" s="494">
        <f>O27-AI27</f>
        <v>-0.648623524331743</v>
      </c>
      <c r="T27" s="643"/>
      <c r="U27" s="643"/>
      <c r="V27" s="532" t="s">
        <v>34</v>
      </c>
      <c r="W27" s="511">
        <f t="shared" ref="W27:AE27" si="64">W7/W17</f>
        <v>10.0643992932862</v>
      </c>
      <c r="X27" s="511">
        <f t="shared" si="64"/>
        <v>11.0509624197983</v>
      </c>
      <c r="Y27" s="511">
        <f t="shared" si="64"/>
        <v>10.24416246774</v>
      </c>
      <c r="Z27" s="511">
        <f t="shared" si="64"/>
        <v>10.3572574435318</v>
      </c>
      <c r="AA27" s="511">
        <f t="shared" si="64"/>
        <v>10.1133917638719</v>
      </c>
      <c r="AB27" s="511">
        <f t="shared" si="64"/>
        <v>11.6572191856537</v>
      </c>
      <c r="AC27" s="511">
        <f t="shared" si="64"/>
        <v>11.9124157748712</v>
      </c>
      <c r="AD27" s="511">
        <f t="shared" si="64"/>
        <v>10.8554316709357</v>
      </c>
      <c r="AE27" s="511">
        <f t="shared" si="64"/>
        <v>10.444385659156</v>
      </c>
      <c r="AF27" s="511">
        <v>10.6487157420892</v>
      </c>
      <c r="AG27" s="511">
        <v>10.5165534239275</v>
      </c>
      <c r="AH27" s="511">
        <v>10.1912584687331</v>
      </c>
      <c r="AI27" s="561">
        <f>AI7/AI17</f>
        <v>10.6907792047546</v>
      </c>
      <c r="AM27" s="532" t="s">
        <v>34</v>
      </c>
      <c r="AN27" s="511">
        <f t="shared" ref="AN27:AX27" si="65">C27-W27</f>
        <v>0.030969565256159</v>
      </c>
      <c r="AO27" s="511">
        <f t="shared" si="65"/>
        <v>-1.06674684765564</v>
      </c>
      <c r="AP27" s="511">
        <f t="shared" si="65"/>
        <v>-0.200092728357715</v>
      </c>
      <c r="AQ27" s="511">
        <f t="shared" si="65"/>
        <v>-0.669949545828155</v>
      </c>
      <c r="AR27" s="511">
        <f t="shared" si="65"/>
        <v>-0.489809211178672</v>
      </c>
      <c r="AS27" s="511">
        <f t="shared" si="65"/>
        <v>-2.11274353363843</v>
      </c>
      <c r="AT27" s="511">
        <f t="shared" si="65"/>
        <v>-2.24736249863139</v>
      </c>
      <c r="AU27" s="511">
        <f>J27-AD27</f>
        <v>-1.23120191119409</v>
      </c>
      <c r="AV27" s="511">
        <f t="shared" si="65"/>
        <v>-0.292694069088759</v>
      </c>
      <c r="AW27" s="511">
        <f t="shared" si="65"/>
        <v>-0.1876165084288</v>
      </c>
      <c r="AX27" s="511">
        <f t="shared" si="65"/>
        <v>-0.157485058613499</v>
      </c>
      <c r="AY27" s="641">
        <f>N27-AH27</f>
        <v>0.741994898640801</v>
      </c>
      <c r="AZ27" s="564">
        <f>O27-AI27</f>
        <v>-0.648623524331743</v>
      </c>
      <c r="BE27" s="532" t="s">
        <v>34</v>
      </c>
      <c r="BF27" s="511">
        <f t="shared" si="56"/>
        <v>-0.030969565256159</v>
      </c>
      <c r="BG27" s="511">
        <f t="shared" ref="BG27:BN27" si="66">X27-D27</f>
        <v>1.06674684765564</v>
      </c>
      <c r="BH27" s="511">
        <f t="shared" si="66"/>
        <v>0.200092728357715</v>
      </c>
      <c r="BI27" s="511">
        <f t="shared" si="66"/>
        <v>0.669949545828155</v>
      </c>
      <c r="BJ27" s="511">
        <f t="shared" si="66"/>
        <v>0.489809211178672</v>
      </c>
      <c r="BK27" s="511">
        <f t="shared" si="66"/>
        <v>2.11274353363843</v>
      </c>
      <c r="BL27" s="511">
        <f t="shared" si="66"/>
        <v>2.24736249863139</v>
      </c>
      <c r="BM27" s="511">
        <f t="shared" si="66"/>
        <v>1.23120191119409</v>
      </c>
      <c r="BN27" s="511">
        <f>AE27-K27</f>
        <v>0.292694069088759</v>
      </c>
      <c r="BO27" s="511">
        <f>AF27-L27</f>
        <v>0.1876165084288</v>
      </c>
      <c r="BP27" s="511">
        <f>AG27-M27</f>
        <v>0.157485058613499</v>
      </c>
      <c r="BQ27" s="511">
        <f>AH27-N27</f>
        <v>-0.741994898640801</v>
      </c>
      <c r="BR27" s="561">
        <f t="shared" si="58"/>
        <v>0.656894787393182</v>
      </c>
    </row>
    <row r="28" customHeight="1" spans="2:70">
      <c r="B28" s="519" t="s">
        <v>35</v>
      </c>
      <c r="C28" s="511">
        <f t="shared" si="52"/>
        <v>11.7130923101708</v>
      </c>
      <c r="D28" s="511">
        <f t="shared" ref="D28:K28" si="67">D8/D18</f>
        <v>11.4368364692027</v>
      </c>
      <c r="E28" s="511">
        <f t="shared" si="67"/>
        <v>11.7136040030717</v>
      </c>
      <c r="F28" s="511">
        <f t="shared" si="67"/>
        <v>11.6584671301314</v>
      </c>
      <c r="G28" s="511">
        <f t="shared" si="67"/>
        <v>11.6283813840721</v>
      </c>
      <c r="H28" s="511">
        <f t="shared" si="67"/>
        <v>11.7484073385465</v>
      </c>
      <c r="I28" s="511">
        <f t="shared" si="67"/>
        <v>11.66362054738</v>
      </c>
      <c r="J28" s="511">
        <f t="shared" si="67"/>
        <v>11.898977827202</v>
      </c>
      <c r="K28" s="511">
        <f t="shared" si="67"/>
        <v>11.7125042484545</v>
      </c>
      <c r="L28" s="641">
        <v>12.253800715063</v>
      </c>
      <c r="M28" s="641">
        <v>12.1517823257273</v>
      </c>
      <c r="N28" s="641">
        <v>12.2241795004053</v>
      </c>
      <c r="O28" s="561">
        <f>O8/O18</f>
        <v>11.8198269039821</v>
      </c>
      <c r="P28" s="637">
        <f>N28-M28</f>
        <v>0.0723971746780006</v>
      </c>
      <c r="Q28" s="638">
        <f>N28-AH28</f>
        <v>0.4584701774702</v>
      </c>
      <c r="R28" s="639"/>
      <c r="S28" s="494">
        <f>O28-AI28</f>
        <v>-0.111109557238136</v>
      </c>
      <c r="T28" s="640"/>
      <c r="U28" s="640"/>
      <c r="V28" s="519" t="s">
        <v>35</v>
      </c>
      <c r="W28" s="511">
        <f t="shared" ref="W28:AE28" si="68">W8/W18</f>
        <v>10.4755944293478</v>
      </c>
      <c r="X28" s="511">
        <f t="shared" si="68"/>
        <v>10.9236025210579</v>
      </c>
      <c r="Y28" s="511">
        <f t="shared" si="68"/>
        <v>10.3476775956284</v>
      </c>
      <c r="Z28" s="511">
        <f t="shared" si="68"/>
        <v>10.3211983080777</v>
      </c>
      <c r="AA28" s="511">
        <f t="shared" si="68"/>
        <v>14.303347304405</v>
      </c>
      <c r="AB28" s="511">
        <f t="shared" si="68"/>
        <v>16.7419587326423</v>
      </c>
      <c r="AC28" s="511">
        <f t="shared" si="68"/>
        <v>12.2455222415562</v>
      </c>
      <c r="AD28" s="511">
        <f t="shared" si="68"/>
        <v>12.0192634681027</v>
      </c>
      <c r="AE28" s="511">
        <f t="shared" si="68"/>
        <v>11.6636250551185</v>
      </c>
      <c r="AF28" s="511">
        <v>11.7282395687383</v>
      </c>
      <c r="AG28" s="511">
        <v>11.6797142439879</v>
      </c>
      <c r="AH28" s="511">
        <v>11.7657093229351</v>
      </c>
      <c r="AI28" s="561">
        <f>AI8/AI18</f>
        <v>11.9309364612202</v>
      </c>
      <c r="AM28" s="519" t="s">
        <v>35</v>
      </c>
      <c r="AN28" s="511">
        <f t="shared" ref="AN28:AX28" si="69">C28-W28</f>
        <v>1.23749788082294</v>
      </c>
      <c r="AO28" s="511">
        <f t="shared" si="69"/>
        <v>0.513233948144846</v>
      </c>
      <c r="AP28" s="511">
        <f t="shared" si="69"/>
        <v>1.36592640744325</v>
      </c>
      <c r="AQ28" s="511">
        <f t="shared" si="69"/>
        <v>1.33726882205367</v>
      </c>
      <c r="AR28" s="511">
        <f t="shared" si="69"/>
        <v>-2.67496592033289</v>
      </c>
      <c r="AS28" s="511">
        <f t="shared" si="69"/>
        <v>-4.99355139409578</v>
      </c>
      <c r="AT28" s="511">
        <f t="shared" si="69"/>
        <v>-0.581901694176238</v>
      </c>
      <c r="AU28" s="511">
        <f t="shared" si="69"/>
        <v>-0.120285640900736</v>
      </c>
      <c r="AV28" s="641">
        <f t="shared" si="69"/>
        <v>0.0488791933360737</v>
      </c>
      <c r="AW28" s="641">
        <f t="shared" si="69"/>
        <v>0.525561146324701</v>
      </c>
      <c r="AX28" s="641">
        <f t="shared" si="69"/>
        <v>0.472068081739399</v>
      </c>
      <c r="AY28" s="641">
        <f>N28-AH28</f>
        <v>0.4584701774702</v>
      </c>
      <c r="AZ28" s="561">
        <f>O28-AI28</f>
        <v>-0.111109557238136</v>
      </c>
      <c r="BE28" s="519" t="s">
        <v>35</v>
      </c>
      <c r="BF28" s="511">
        <f t="shared" si="56"/>
        <v>-1.23749788082294</v>
      </c>
      <c r="BG28" s="511">
        <f t="shared" ref="BG28:BN28" si="70">X28-D28</f>
        <v>-0.513233948144846</v>
      </c>
      <c r="BH28" s="511">
        <f t="shared" si="70"/>
        <v>-1.36592640744325</v>
      </c>
      <c r="BI28" s="511">
        <f t="shared" si="70"/>
        <v>-1.33726882205367</v>
      </c>
      <c r="BJ28" s="511">
        <f t="shared" si="70"/>
        <v>2.67496592033289</v>
      </c>
      <c r="BK28" s="511">
        <f t="shared" si="70"/>
        <v>4.99355139409578</v>
      </c>
      <c r="BL28" s="511">
        <f t="shared" si="70"/>
        <v>0.581901694176238</v>
      </c>
      <c r="BM28" s="511">
        <f t="shared" si="70"/>
        <v>0.120285640900736</v>
      </c>
      <c r="BN28" s="511">
        <f>AE28-K28</f>
        <v>-0.0488791933360737</v>
      </c>
      <c r="BO28" s="511">
        <f>AF28-L28</f>
        <v>-0.525561146324701</v>
      </c>
      <c r="BP28" s="511">
        <f>AG28-M28</f>
        <v>-0.472068081739399</v>
      </c>
      <c r="BQ28" s="511">
        <f>AH28-N28</f>
        <v>-0.4584701774702</v>
      </c>
      <c r="BR28" s="561">
        <f t="shared" si="58"/>
        <v>0.200983249347547</v>
      </c>
    </row>
    <row r="29" customHeight="1" spans="2:70">
      <c r="B29" s="519" t="s">
        <v>36</v>
      </c>
      <c r="C29" s="511">
        <f t="shared" si="52"/>
        <v>9.9578150114461</v>
      </c>
      <c r="D29" s="511">
        <f t="shared" ref="D29:K29" si="71">D9/D19</f>
        <v>9.72988211700254</v>
      </c>
      <c r="E29" s="511">
        <f t="shared" si="71"/>
        <v>9.45809671945701</v>
      </c>
      <c r="F29" s="511">
        <f t="shared" si="71"/>
        <v>9.67943248277953</v>
      </c>
      <c r="G29" s="511">
        <f t="shared" si="71"/>
        <v>9.7439503784693</v>
      </c>
      <c r="H29" s="511">
        <f t="shared" si="71"/>
        <v>10.0979966201943</v>
      </c>
      <c r="I29" s="511">
        <f t="shared" si="71"/>
        <v>10.3057026644659</v>
      </c>
      <c r="J29" s="511">
        <f t="shared" si="71"/>
        <v>10.4683832614031</v>
      </c>
      <c r="K29" s="511">
        <f t="shared" si="71"/>
        <v>9.84552090187305</v>
      </c>
      <c r="L29" s="641">
        <v>10.4910108021344</v>
      </c>
      <c r="M29" s="641">
        <v>10.4633477408431</v>
      </c>
      <c r="N29" s="641">
        <v>10.5205063562962</v>
      </c>
      <c r="O29" s="561">
        <f>O9/O19</f>
        <v>10.0735570528719</v>
      </c>
      <c r="P29" s="637">
        <f>N29-M29</f>
        <v>0.0571586154531012</v>
      </c>
      <c r="Q29" s="638">
        <f>N29-AH29</f>
        <v>0.562916295290721</v>
      </c>
      <c r="R29" s="639"/>
      <c r="S29" s="494">
        <f>O29-AI29</f>
        <v>0.102880992434278</v>
      </c>
      <c r="T29" s="640"/>
      <c r="U29" s="640"/>
      <c r="V29" s="519" t="s">
        <v>36</v>
      </c>
      <c r="W29" s="511">
        <f t="shared" ref="W29:AE29" si="72">W9/W19</f>
        <v>10.1533944954128</v>
      </c>
      <c r="X29" s="511">
        <f t="shared" si="72"/>
        <v>10.4136884227956</v>
      </c>
      <c r="Y29" s="511">
        <f t="shared" si="72"/>
        <v>9.75140260079154</v>
      </c>
      <c r="Z29" s="511">
        <f t="shared" si="72"/>
        <v>9.69684273916036</v>
      </c>
      <c r="AA29" s="511">
        <f t="shared" si="72"/>
        <v>9.80009713846279</v>
      </c>
      <c r="AB29" s="511">
        <f t="shared" si="72"/>
        <v>9.92753880467932</v>
      </c>
      <c r="AC29" s="511">
        <f t="shared" si="72"/>
        <v>10.090429214261</v>
      </c>
      <c r="AD29" s="511">
        <f t="shared" si="72"/>
        <v>10.2283760832644</v>
      </c>
      <c r="AE29" s="511">
        <f t="shared" si="72"/>
        <v>9.70588289491869</v>
      </c>
      <c r="AF29" s="511">
        <v>10.1366807000165</v>
      </c>
      <c r="AG29" s="511">
        <v>9.94544536117191</v>
      </c>
      <c r="AH29" s="511">
        <v>9.95759006100548</v>
      </c>
      <c r="AI29" s="561">
        <f>AI9/AI19</f>
        <v>9.97067606043757</v>
      </c>
      <c r="AM29" s="519" t="s">
        <v>36</v>
      </c>
      <c r="AN29" s="511">
        <f t="shared" ref="AN29:AX29" si="73">C29-W29</f>
        <v>-0.195579483966739</v>
      </c>
      <c r="AO29" s="511">
        <f t="shared" si="73"/>
        <v>-0.683806305793096</v>
      </c>
      <c r="AP29" s="511">
        <f t="shared" si="73"/>
        <v>-0.293305881334529</v>
      </c>
      <c r="AQ29" s="511">
        <f t="shared" si="73"/>
        <v>-0.0174102563808241</v>
      </c>
      <c r="AR29" s="511">
        <f t="shared" si="73"/>
        <v>-0.0561467599934833</v>
      </c>
      <c r="AS29" s="641">
        <f t="shared" si="73"/>
        <v>0.170457815515018</v>
      </c>
      <c r="AT29" s="641">
        <f t="shared" si="73"/>
        <v>0.215273450204936</v>
      </c>
      <c r="AU29" s="641">
        <f t="shared" si="73"/>
        <v>0.240007178138681</v>
      </c>
      <c r="AV29" s="641">
        <f t="shared" si="73"/>
        <v>0.139638006954362</v>
      </c>
      <c r="AW29" s="641">
        <f t="shared" si="73"/>
        <v>0.354330102117901</v>
      </c>
      <c r="AX29" s="641">
        <f t="shared" si="73"/>
        <v>0.51790237967119</v>
      </c>
      <c r="AY29" s="641">
        <f>N29-AH29</f>
        <v>0.562916295290721</v>
      </c>
      <c r="AZ29" s="562">
        <f>O29-AI29</f>
        <v>0.102880992434278</v>
      </c>
      <c r="BE29" s="519" t="s">
        <v>36</v>
      </c>
      <c r="BF29" s="511">
        <f t="shared" si="56"/>
        <v>0.195579483966739</v>
      </c>
      <c r="BG29" s="511">
        <f t="shared" ref="BG29:BN29" si="74">X29-D29</f>
        <v>0.683806305793096</v>
      </c>
      <c r="BH29" s="511">
        <f t="shared" si="74"/>
        <v>0.293305881334529</v>
      </c>
      <c r="BI29" s="511">
        <f t="shared" si="74"/>
        <v>0.0174102563808241</v>
      </c>
      <c r="BJ29" s="511">
        <f t="shared" si="74"/>
        <v>0.0561467599934833</v>
      </c>
      <c r="BK29" s="511">
        <f t="shared" si="74"/>
        <v>-0.170457815515018</v>
      </c>
      <c r="BL29" s="511">
        <f t="shared" si="74"/>
        <v>-0.215273450204936</v>
      </c>
      <c r="BM29" s="511">
        <f t="shared" si="74"/>
        <v>-0.240007178138681</v>
      </c>
      <c r="BN29" s="511">
        <f>AE29-K29</f>
        <v>-0.139638006954362</v>
      </c>
      <c r="BO29" s="511">
        <f>AF29-L29</f>
        <v>-0.354330102117901</v>
      </c>
      <c r="BP29" s="511">
        <f>AG29-M29</f>
        <v>-0.51790237967119</v>
      </c>
      <c r="BQ29" s="511">
        <f>AH29-N29</f>
        <v>-0.562916295290721</v>
      </c>
      <c r="BR29" s="561">
        <f t="shared" si="58"/>
        <v>-0.0795230450353448</v>
      </c>
    </row>
    <row r="30" customHeight="1" spans="2:70">
      <c r="B30" s="537" t="s">
        <v>14</v>
      </c>
      <c r="C30" s="565">
        <f t="shared" si="52"/>
        <v>10.6597441287637</v>
      </c>
      <c r="D30" s="565">
        <f t="shared" ref="D30:N30" si="75">D10/D20</f>
        <v>10.5023327957902</v>
      </c>
      <c r="E30" s="565">
        <f t="shared" si="75"/>
        <v>10.5048480792397</v>
      </c>
      <c r="F30" s="565">
        <f t="shared" si="75"/>
        <v>10.4454391433602</v>
      </c>
      <c r="G30" s="565">
        <f t="shared" si="75"/>
        <v>10.448053597146</v>
      </c>
      <c r="H30" s="565">
        <f t="shared" si="75"/>
        <v>10.5624621102664</v>
      </c>
      <c r="I30" s="565">
        <f t="shared" si="75"/>
        <v>10.6245225266634</v>
      </c>
      <c r="J30" s="565">
        <f t="shared" si="75"/>
        <v>10.8117809133294</v>
      </c>
      <c r="K30" s="565">
        <f t="shared" si="75"/>
        <v>10.5540668060353</v>
      </c>
      <c r="L30" s="565">
        <f t="shared" si="75"/>
        <v>11.0377671814492</v>
      </c>
      <c r="M30" s="565">
        <f t="shared" si="75"/>
        <v>11.0011922312914</v>
      </c>
      <c r="N30" s="565">
        <f t="shared" si="75"/>
        <v>11.2069989792446</v>
      </c>
      <c r="O30" s="567">
        <f>O10/O20</f>
        <v>10.7044968740032</v>
      </c>
      <c r="P30" s="644">
        <f>N30-M30</f>
        <v>0.205806747953277</v>
      </c>
      <c r="Q30" s="645">
        <f>N30-AH30</f>
        <v>0.518346577440591</v>
      </c>
      <c r="R30" s="646"/>
      <c r="S30" s="494">
        <f>O30-AI30</f>
        <v>-0.0327614136314907</v>
      </c>
      <c r="T30" s="616"/>
      <c r="U30" s="616"/>
      <c r="V30" s="537" t="s">
        <v>14</v>
      </c>
      <c r="W30" s="565">
        <f>W10/W20</f>
        <v>10.1122125065093</v>
      </c>
      <c r="X30" s="565">
        <f t="shared" ref="W30:AH30" si="76">X10/X20</f>
        <v>10.819109061961</v>
      </c>
      <c r="Y30" s="565">
        <f t="shared" si="76"/>
        <v>10.0877480687977</v>
      </c>
      <c r="Z30" s="565">
        <f t="shared" si="76"/>
        <v>10.0336074381071</v>
      </c>
      <c r="AA30" s="565">
        <f t="shared" si="76"/>
        <v>11.1077503917013</v>
      </c>
      <c r="AB30" s="565">
        <f t="shared" si="76"/>
        <v>11.9344962167411</v>
      </c>
      <c r="AC30" s="565">
        <f t="shared" si="76"/>
        <v>10.9985542156225</v>
      </c>
      <c r="AD30" s="565">
        <f t="shared" si="76"/>
        <v>11.0447194975047</v>
      </c>
      <c r="AE30" s="565">
        <f t="shared" si="76"/>
        <v>10.6198994251513</v>
      </c>
      <c r="AF30" s="565">
        <f t="shared" si="76"/>
        <v>10.7901381166256</v>
      </c>
      <c r="AG30" s="565">
        <f t="shared" si="76"/>
        <v>10.6731764258916</v>
      </c>
      <c r="AH30" s="565">
        <f t="shared" si="76"/>
        <v>10.6886524018041</v>
      </c>
      <c r="AI30" s="567">
        <f>AI10/AI20</f>
        <v>10.7372582876347</v>
      </c>
      <c r="AM30" s="537" t="s">
        <v>14</v>
      </c>
      <c r="AN30" s="565">
        <f t="shared" ref="AN30:AX30" si="77">C30-W30</f>
        <v>0.547531622254462</v>
      </c>
      <c r="AO30" s="565">
        <f t="shared" si="77"/>
        <v>-0.316776266170802</v>
      </c>
      <c r="AP30" s="565">
        <f t="shared" si="77"/>
        <v>0.417100010441978</v>
      </c>
      <c r="AQ30" s="565">
        <f t="shared" si="77"/>
        <v>0.411831705253034</v>
      </c>
      <c r="AR30" s="565">
        <f t="shared" si="77"/>
        <v>-0.65969679455533</v>
      </c>
      <c r="AS30" s="565">
        <f t="shared" si="77"/>
        <v>-1.37203410647472</v>
      </c>
      <c r="AT30" s="565">
        <f t="shared" si="77"/>
        <v>-0.374031688959018</v>
      </c>
      <c r="AU30" s="565">
        <f t="shared" si="77"/>
        <v>-0.232938584175319</v>
      </c>
      <c r="AV30" s="647">
        <f t="shared" si="77"/>
        <v>-0.0658326191160228</v>
      </c>
      <c r="AW30" s="648">
        <f t="shared" si="77"/>
        <v>0.247629064823604</v>
      </c>
      <c r="AX30" s="648">
        <f t="shared" si="77"/>
        <v>0.328015805399735</v>
      </c>
      <c r="AY30" s="565">
        <f>N30-AH30</f>
        <v>0.518346577440591</v>
      </c>
      <c r="AZ30" s="649">
        <f>O30-AI30</f>
        <v>-0.0327614136314907</v>
      </c>
      <c r="BE30" s="537" t="s">
        <v>14</v>
      </c>
      <c r="BF30" s="565">
        <f t="shared" si="56"/>
        <v>-0.547531622254462</v>
      </c>
      <c r="BG30" s="565">
        <f t="shared" ref="BG30:BN30" si="78">X30-D30</f>
        <v>0.316776266170802</v>
      </c>
      <c r="BH30" s="565">
        <f t="shared" si="78"/>
        <v>-0.417100010441978</v>
      </c>
      <c r="BI30" s="565">
        <f t="shared" si="78"/>
        <v>-0.411831705253034</v>
      </c>
      <c r="BJ30" s="565">
        <f t="shared" si="78"/>
        <v>0.65969679455533</v>
      </c>
      <c r="BK30" s="565">
        <f t="shared" si="78"/>
        <v>1.37203410647472</v>
      </c>
      <c r="BL30" s="565">
        <f t="shared" si="78"/>
        <v>0.374031688959018</v>
      </c>
      <c r="BM30" s="565">
        <f t="shared" si="78"/>
        <v>0.232938584175319</v>
      </c>
      <c r="BN30" s="565">
        <f>AE30-K30</f>
        <v>0.0658326191160228</v>
      </c>
      <c r="BO30" s="565">
        <f>AF30-L30</f>
        <v>-0.247629064823604</v>
      </c>
      <c r="BP30" s="565">
        <f>AG30-M30</f>
        <v>-0.328015805399735</v>
      </c>
      <c r="BQ30" s="565">
        <f>AH30-N30</f>
        <v>-0.518346577440591</v>
      </c>
      <c r="BR30" s="567">
        <f t="shared" si="58"/>
        <v>0.0459046061531505</v>
      </c>
    </row>
  </sheetData>
  <mergeCells count="211">
    <mergeCell ref="B2:T2"/>
    <mergeCell ref="V2:AI2"/>
    <mergeCell ref="AM2:AZ2"/>
    <mergeCell ref="BE2:BR2"/>
    <mergeCell ref="Q5:R5"/>
    <mergeCell ref="Q6:R6"/>
    <mergeCell ref="Q7:R7"/>
    <mergeCell ref="Q8:R8"/>
    <mergeCell ref="Q9:R9"/>
    <mergeCell ref="Q10:R10"/>
    <mergeCell ref="B12:T12"/>
    <mergeCell ref="V12:AI12"/>
    <mergeCell ref="AM12:AZ12"/>
    <mergeCell ref="BE12:BR12"/>
    <mergeCell ref="Q15:R15"/>
    <mergeCell ref="Q16:R16"/>
    <mergeCell ref="Q17:R17"/>
    <mergeCell ref="Q18:R18"/>
    <mergeCell ref="Q19:R19"/>
    <mergeCell ref="Q20:R20"/>
    <mergeCell ref="B22:O22"/>
    <mergeCell ref="V22:AI22"/>
    <mergeCell ref="AM22:AZ22"/>
    <mergeCell ref="BE22:BR22"/>
    <mergeCell ref="Q25:R25"/>
    <mergeCell ref="Q26:R26"/>
    <mergeCell ref="Q27:R27"/>
    <mergeCell ref="Q28:R28"/>
    <mergeCell ref="Q29:R29"/>
    <mergeCell ref="Q30:R30"/>
    <mergeCell ref="B3:B4"/>
    <mergeCell ref="B13:B14"/>
    <mergeCell ref="B23:B24"/>
    <mergeCell ref="C3:C4"/>
    <mergeCell ref="C13:C14"/>
    <mergeCell ref="C23:C24"/>
    <mergeCell ref="D3:D4"/>
    <mergeCell ref="D13:D14"/>
    <mergeCell ref="D23:D24"/>
    <mergeCell ref="E3:E4"/>
    <mergeCell ref="E13:E14"/>
    <mergeCell ref="E23:E24"/>
    <mergeCell ref="F3:F4"/>
    <mergeCell ref="F13:F14"/>
    <mergeCell ref="F23:F24"/>
    <mergeCell ref="G3:G4"/>
    <mergeCell ref="G13:G14"/>
    <mergeCell ref="G23:G24"/>
    <mergeCell ref="H3:H4"/>
    <mergeCell ref="H13:H14"/>
    <mergeCell ref="H23:H24"/>
    <mergeCell ref="I3:I4"/>
    <mergeCell ref="I13:I14"/>
    <mergeCell ref="I23:I24"/>
    <mergeCell ref="J3:J4"/>
    <mergeCell ref="J13:J14"/>
    <mergeCell ref="J23:J24"/>
    <mergeCell ref="K3:K4"/>
    <mergeCell ref="K13:K14"/>
    <mergeCell ref="K23:K24"/>
    <mergeCell ref="L3:L4"/>
    <mergeCell ref="L13:L14"/>
    <mergeCell ref="L23:L24"/>
    <mergeCell ref="M3:M4"/>
    <mergeCell ref="M13:M14"/>
    <mergeCell ref="M23:M24"/>
    <mergeCell ref="N3:N4"/>
    <mergeCell ref="N13:N14"/>
    <mergeCell ref="N23:N24"/>
    <mergeCell ref="O3:O4"/>
    <mergeCell ref="O13:O14"/>
    <mergeCell ref="O23:O24"/>
    <mergeCell ref="P3:P4"/>
    <mergeCell ref="P13:P14"/>
    <mergeCell ref="P23:P24"/>
    <mergeCell ref="S3:S4"/>
    <mergeCell ref="S13:S14"/>
    <mergeCell ref="S23:S24"/>
    <mergeCell ref="T3:T4"/>
    <mergeCell ref="T13:T14"/>
    <mergeCell ref="U3:U4"/>
    <mergeCell ref="U13:U14"/>
    <mergeCell ref="V3:V4"/>
    <mergeCell ref="V13:V14"/>
    <mergeCell ref="V23:V24"/>
    <mergeCell ref="W3:W4"/>
    <mergeCell ref="W13:W14"/>
    <mergeCell ref="W23:W24"/>
    <mergeCell ref="X3:X4"/>
    <mergeCell ref="X13:X14"/>
    <mergeCell ref="X23:X24"/>
    <mergeCell ref="Y3:Y4"/>
    <mergeCell ref="Y13:Y14"/>
    <mergeCell ref="Y23:Y24"/>
    <mergeCell ref="Z3:Z4"/>
    <mergeCell ref="Z13:Z14"/>
    <mergeCell ref="Z23:Z24"/>
    <mergeCell ref="AA3:AA4"/>
    <mergeCell ref="AA13:AA14"/>
    <mergeCell ref="AA23:AA24"/>
    <mergeCell ref="AB3:AB4"/>
    <mergeCell ref="AB13:AB14"/>
    <mergeCell ref="AB23:AB24"/>
    <mergeCell ref="AC3:AC4"/>
    <mergeCell ref="AC13:AC14"/>
    <mergeCell ref="AC23:AC24"/>
    <mergeCell ref="AD3:AD4"/>
    <mergeCell ref="AD13:AD14"/>
    <mergeCell ref="AD23:AD24"/>
    <mergeCell ref="AE3:AE4"/>
    <mergeCell ref="AE13:AE14"/>
    <mergeCell ref="AE23:AE24"/>
    <mergeCell ref="AF3:AF4"/>
    <mergeCell ref="AF13:AF14"/>
    <mergeCell ref="AF23:AF24"/>
    <mergeCell ref="AG3:AG4"/>
    <mergeCell ref="AG13:AG14"/>
    <mergeCell ref="AG23:AG24"/>
    <mergeCell ref="AH3:AH4"/>
    <mergeCell ref="AH13:AH14"/>
    <mergeCell ref="AH23:AH24"/>
    <mergeCell ref="AI3:AI4"/>
    <mergeCell ref="AI13:AI14"/>
    <mergeCell ref="AI23:AI24"/>
    <mergeCell ref="AM3:AM4"/>
    <mergeCell ref="AM13:AM14"/>
    <mergeCell ref="AM23:AM24"/>
    <mergeCell ref="AN3:AN4"/>
    <mergeCell ref="AN13:AN14"/>
    <mergeCell ref="AN23:AN24"/>
    <mergeCell ref="AO3:AO4"/>
    <mergeCell ref="AO13:AO14"/>
    <mergeCell ref="AO23:AO24"/>
    <mergeCell ref="AP3:AP4"/>
    <mergeCell ref="AP13:AP14"/>
    <mergeCell ref="AP23:AP24"/>
    <mergeCell ref="AQ3:AQ4"/>
    <mergeCell ref="AQ13:AQ14"/>
    <mergeCell ref="AQ23:AQ24"/>
    <mergeCell ref="AR3:AR4"/>
    <mergeCell ref="AR13:AR14"/>
    <mergeCell ref="AR23:AR24"/>
    <mergeCell ref="AS3:AS4"/>
    <mergeCell ref="AS13:AS14"/>
    <mergeCell ref="AS23:AS24"/>
    <mergeCell ref="AT3:AT4"/>
    <mergeCell ref="AT13:AT14"/>
    <mergeCell ref="AT23:AT24"/>
    <mergeCell ref="AU3:AU4"/>
    <mergeCell ref="AU13:AU14"/>
    <mergeCell ref="AU23:AU24"/>
    <mergeCell ref="AV3:AV4"/>
    <mergeCell ref="AV13:AV14"/>
    <mergeCell ref="AV23:AV24"/>
    <mergeCell ref="AW3:AW4"/>
    <mergeCell ref="AW13:AW14"/>
    <mergeCell ref="AW23:AW24"/>
    <mergeCell ref="AX3:AX4"/>
    <mergeCell ref="AX13:AX14"/>
    <mergeCell ref="AX23:AX24"/>
    <mergeCell ref="AY3:AY4"/>
    <mergeCell ref="AY13:AY14"/>
    <mergeCell ref="AY23:AY24"/>
    <mergeCell ref="AZ3:AZ4"/>
    <mergeCell ref="AZ13:AZ14"/>
    <mergeCell ref="AZ23:AZ24"/>
    <mergeCell ref="BE3:BE4"/>
    <mergeCell ref="BE13:BE14"/>
    <mergeCell ref="BE23:BE24"/>
    <mergeCell ref="BF3:BF4"/>
    <mergeCell ref="BF13:BF14"/>
    <mergeCell ref="BF23:BF24"/>
    <mergeCell ref="BG3:BG4"/>
    <mergeCell ref="BG13:BG14"/>
    <mergeCell ref="BG23:BG24"/>
    <mergeCell ref="BH3:BH4"/>
    <mergeCell ref="BH13:BH14"/>
    <mergeCell ref="BH23:BH24"/>
    <mergeCell ref="BI3:BI4"/>
    <mergeCell ref="BI13:BI14"/>
    <mergeCell ref="BI23:BI24"/>
    <mergeCell ref="BJ3:BJ4"/>
    <mergeCell ref="BJ13:BJ14"/>
    <mergeCell ref="BJ23:BJ24"/>
    <mergeCell ref="BK3:BK4"/>
    <mergeCell ref="BK13:BK14"/>
    <mergeCell ref="BK23:BK24"/>
    <mergeCell ref="BL3:BL4"/>
    <mergeCell ref="BL13:BL14"/>
    <mergeCell ref="BL23:BL24"/>
    <mergeCell ref="BM3:BM4"/>
    <mergeCell ref="BM13:BM14"/>
    <mergeCell ref="BM23:BM24"/>
    <mergeCell ref="BN3:BN4"/>
    <mergeCell ref="BN13:BN14"/>
    <mergeCell ref="BN23:BN24"/>
    <mergeCell ref="BO3:BO4"/>
    <mergeCell ref="BO13:BO14"/>
    <mergeCell ref="BO23:BO24"/>
    <mergeCell ref="BP3:BP4"/>
    <mergeCell ref="BP13:BP14"/>
    <mergeCell ref="BP23:BP24"/>
    <mergeCell ref="BQ3:BQ4"/>
    <mergeCell ref="BQ13:BQ14"/>
    <mergeCell ref="BQ23:BQ24"/>
    <mergeCell ref="BR3:BR4"/>
    <mergeCell ref="BR13:BR14"/>
    <mergeCell ref="BR23:BR24"/>
    <mergeCell ref="Q3:R4"/>
    <mergeCell ref="Q23:R24"/>
    <mergeCell ref="Q13:R14"/>
  </mergeCell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24"/>
  <sheetViews>
    <sheetView zoomScale="94" zoomScaleNormal="94" topLeftCell="A4" workbookViewId="0">
      <selection activeCell="O9" sqref="O9"/>
    </sheetView>
  </sheetViews>
  <sheetFormatPr defaultColWidth="9" defaultRowHeight="25" customHeight="1"/>
  <cols>
    <col min="1" max="1" width="9" style="493"/>
    <col min="2" max="2" width="13.9711538461538" style="493" customWidth="1"/>
    <col min="3" max="14" width="12.2115384615385" style="493" customWidth="1"/>
    <col min="15" max="15" width="14.4230769230769" style="493" customWidth="1"/>
    <col min="16" max="16" width="11.2115384615385" style="494" customWidth="1"/>
    <col min="17" max="17" width="12.6538461538462" style="494" customWidth="1"/>
    <col min="18" max="18" width="13.2980769230769" style="494" customWidth="1"/>
    <col min="19" max="19" width="6.20192307692308" style="493" customWidth="1"/>
    <col min="20" max="20" width="17.625" style="493" customWidth="1"/>
    <col min="21" max="33" width="12.2211538461538" style="493" customWidth="1"/>
    <col min="34" max="16384" width="9" style="493"/>
  </cols>
  <sheetData>
    <row r="1" s="493" customFormat="1" customHeight="1" spans="2:33"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6"/>
      <c r="P1" s="494"/>
      <c r="Q1" s="494"/>
      <c r="R1" s="494"/>
    </row>
    <row r="2" s="493" customFormat="1" customHeight="1" spans="2:33">
      <c r="B2" s="497" t="s">
        <v>48</v>
      </c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  <c r="P2" s="497"/>
      <c r="Q2" s="497"/>
      <c r="R2" s="498"/>
      <c r="T2" s="497" t="s">
        <v>49</v>
      </c>
      <c r="U2" s="497"/>
      <c r="V2" s="497"/>
      <c r="W2" s="497"/>
      <c r="X2" s="497"/>
      <c r="Y2" s="497"/>
      <c r="Z2" s="497"/>
      <c r="AA2" s="497"/>
      <c r="AB2" s="497"/>
      <c r="AC2" s="497"/>
      <c r="AD2" s="497"/>
      <c r="AE2" s="497"/>
      <c r="AF2" s="497"/>
      <c r="AG2" s="497"/>
    </row>
    <row r="3" s="493" customFormat="1" ht="13" customHeight="1" spans="2:33">
      <c r="B3" s="499" t="s">
        <v>26</v>
      </c>
      <c r="C3" s="500" t="s">
        <v>2</v>
      </c>
      <c r="D3" s="500" t="s">
        <v>3</v>
      </c>
      <c r="E3" s="500" t="s">
        <v>4</v>
      </c>
      <c r="F3" s="500" t="s">
        <v>5</v>
      </c>
      <c r="G3" s="500" t="s">
        <v>6</v>
      </c>
      <c r="H3" s="500" t="s">
        <v>7</v>
      </c>
      <c r="I3" s="500" t="s">
        <v>8</v>
      </c>
      <c r="J3" s="500" t="s">
        <v>9</v>
      </c>
      <c r="K3" s="500" t="s">
        <v>10</v>
      </c>
      <c r="L3" s="500" t="s">
        <v>11</v>
      </c>
      <c r="M3" s="500" t="s">
        <v>12</v>
      </c>
      <c r="N3" s="500" t="s">
        <v>13</v>
      </c>
      <c r="O3" s="501" t="s">
        <v>14</v>
      </c>
      <c r="P3" s="502" t="s">
        <v>50</v>
      </c>
      <c r="Q3" s="503" t="s">
        <v>51</v>
      </c>
      <c r="R3" s="504" t="s">
        <v>52</v>
      </c>
      <c r="T3" s="100" t="s">
        <v>26</v>
      </c>
      <c r="U3" s="101" t="s">
        <v>2</v>
      </c>
      <c r="V3" s="101" t="s">
        <v>3</v>
      </c>
      <c r="W3" s="101" t="s">
        <v>4</v>
      </c>
      <c r="X3" s="101" t="s">
        <v>5</v>
      </c>
      <c r="Y3" s="101" t="s">
        <v>6</v>
      </c>
      <c r="Z3" s="101" t="s">
        <v>7</v>
      </c>
      <c r="AA3" s="101" t="s">
        <v>8</v>
      </c>
      <c r="AB3" s="101" t="s">
        <v>9</v>
      </c>
      <c r="AC3" s="101" t="s">
        <v>10</v>
      </c>
      <c r="AD3" s="101" t="s">
        <v>11</v>
      </c>
      <c r="AE3" s="101" t="s">
        <v>12</v>
      </c>
      <c r="AF3" s="101" t="s">
        <v>13</v>
      </c>
      <c r="AG3" s="123" t="s">
        <v>14</v>
      </c>
    </row>
    <row r="4" s="493" customFormat="1" ht="13" customHeight="1" spans="2:33">
      <c r="B4" s="505"/>
      <c r="C4" s="506"/>
      <c r="D4" s="506"/>
      <c r="E4" s="506"/>
      <c r="F4" s="506"/>
      <c r="G4" s="506"/>
      <c r="H4" s="506"/>
      <c r="I4" s="506"/>
      <c r="J4" s="506"/>
      <c r="K4" s="506"/>
      <c r="L4" s="506"/>
      <c r="M4" s="506"/>
      <c r="N4" s="506"/>
      <c r="O4" s="507"/>
      <c r="P4" s="508"/>
      <c r="Q4" s="509"/>
      <c r="R4" s="504"/>
      <c r="T4" s="105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26"/>
    </row>
    <row r="5" s="493" customFormat="1" customHeight="1" spans="2:33">
      <c r="B5" s="510" t="s">
        <v>53</v>
      </c>
      <c r="C5" s="511"/>
      <c r="D5" s="512">
        <v>100046.3</v>
      </c>
      <c r="E5" s="512">
        <v>155780.9</v>
      </c>
      <c r="F5" s="512">
        <v>142137</v>
      </c>
      <c r="G5" s="512">
        <v>146108.97</v>
      </c>
      <c r="H5" s="513">
        <v>132483.6</v>
      </c>
      <c r="I5" s="513">
        <v>149499.94</v>
      </c>
      <c r="J5" s="513">
        <v>165453.41</v>
      </c>
      <c r="K5" s="514">
        <v>138580.53</v>
      </c>
      <c r="L5" s="514">
        <v>168507.58</v>
      </c>
      <c r="M5" s="514">
        <v>154397.71</v>
      </c>
      <c r="N5" s="514">
        <v>181054.89</v>
      </c>
      <c r="O5" s="515">
        <f>SUM(C5:N5)</f>
        <v>1634050.83</v>
      </c>
      <c r="P5" s="516">
        <f>(N5/31-M5/30)/(M5/30)</f>
        <v>0.134825184113284</v>
      </c>
      <c r="Q5" s="517">
        <f>N5/31-M5/30</f>
        <v>693.889989247313</v>
      </c>
      <c r="R5" s="518"/>
      <c r="T5" s="519"/>
      <c r="U5" s="520"/>
      <c r="V5" s="520"/>
      <c r="W5" s="521"/>
      <c r="X5" s="522"/>
      <c r="Y5" s="522"/>
      <c r="Z5" s="522"/>
      <c r="AA5" s="522"/>
      <c r="AB5" s="522"/>
      <c r="AC5" s="522"/>
      <c r="AD5" s="522"/>
      <c r="AE5" s="522"/>
      <c r="AF5" s="522"/>
      <c r="AG5" s="523">
        <f>SUM(U5:AF5)</f>
        <v>0</v>
      </c>
    </row>
    <row r="6" s="493" customFormat="1" customHeight="1" spans="2:33">
      <c r="B6" s="510" t="s">
        <v>54</v>
      </c>
      <c r="C6" s="511">
        <v>81907.68</v>
      </c>
      <c r="D6" s="524">
        <v>74101.59</v>
      </c>
      <c r="E6" s="524">
        <v>71806.2</v>
      </c>
      <c r="F6" s="524">
        <v>69853.38</v>
      </c>
      <c r="G6" s="524">
        <v>80565.41</v>
      </c>
      <c r="H6" s="525">
        <v>75347.44</v>
      </c>
      <c r="I6" s="525">
        <v>84769.78</v>
      </c>
      <c r="J6" s="525">
        <v>87358.71</v>
      </c>
      <c r="K6" s="526">
        <v>88786.64</v>
      </c>
      <c r="L6" s="526">
        <v>101017.03</v>
      </c>
      <c r="M6" s="526">
        <v>100960.95</v>
      </c>
      <c r="N6" s="526">
        <v>120447.8</v>
      </c>
      <c r="O6" s="515">
        <f>SUM(C6:N6)</f>
        <v>1036922.61</v>
      </c>
      <c r="P6" s="516">
        <f>(N6/31-M6/30)/(M6/30)</f>
        <v>0.154529420501434</v>
      </c>
      <c r="Q6" s="517">
        <f>N6/31-M6/30</f>
        <v>520.047903225807</v>
      </c>
      <c r="R6" s="518">
        <f>N6/31-AF6/31</f>
        <v>909.541935483871</v>
      </c>
      <c r="T6" s="519"/>
      <c r="U6" s="520"/>
      <c r="V6" s="520"/>
      <c r="W6" s="521"/>
      <c r="X6" s="522"/>
      <c r="Y6" s="522"/>
      <c r="Z6" s="522"/>
      <c r="AA6" s="522"/>
      <c r="AB6" s="522"/>
      <c r="AC6" s="522"/>
      <c r="AD6" s="527"/>
      <c r="AE6" s="522">
        <v>105369.3</v>
      </c>
      <c r="AF6" s="522">
        <v>92252</v>
      </c>
      <c r="AG6" s="523">
        <f>SUM(U6:AF6)</f>
        <v>197621.3</v>
      </c>
    </row>
    <row r="7" s="493" customFormat="1" customHeight="1" spans="2:33">
      <c r="B7" s="528" t="s">
        <v>55</v>
      </c>
      <c r="C7" s="511"/>
      <c r="D7" s="524"/>
      <c r="E7" s="524">
        <v>41818.6</v>
      </c>
      <c r="F7" s="524">
        <v>127459</v>
      </c>
      <c r="G7" s="524">
        <v>115459.74</v>
      </c>
      <c r="H7" s="525">
        <v>124882.46</v>
      </c>
      <c r="I7" s="525">
        <v>147010.74</v>
      </c>
      <c r="J7" s="525">
        <v>135766.6</v>
      </c>
      <c r="K7" s="526">
        <v>110654.46</v>
      </c>
      <c r="L7" s="526">
        <v>119567.89</v>
      </c>
      <c r="M7" s="529">
        <v>112993.01</v>
      </c>
      <c r="N7" s="526">
        <v>138818.92</v>
      </c>
      <c r="O7" s="515">
        <f>SUM(C7:N7)</f>
        <v>1174431.42</v>
      </c>
      <c r="P7" s="530">
        <f>(N7/31-M7/30)/(M7/30)</f>
        <v>0.18893098185968</v>
      </c>
      <c r="Q7" s="531">
        <f>N7/31-M7/30</f>
        <v>711.596010752688</v>
      </c>
      <c r="R7" s="498"/>
      <c r="T7" s="532"/>
      <c r="U7" s="520"/>
      <c r="V7" s="520"/>
      <c r="W7" s="521"/>
      <c r="X7" s="522"/>
      <c r="Y7" s="522"/>
      <c r="Z7" s="522"/>
      <c r="AA7" s="522"/>
      <c r="AB7" s="522"/>
      <c r="AC7" s="522"/>
      <c r="AD7" s="522"/>
      <c r="AE7" s="522"/>
      <c r="AF7" s="522"/>
      <c r="AG7" s="523">
        <f>SUM(U7:AF7)</f>
        <v>0</v>
      </c>
    </row>
    <row r="8" s="493" customFormat="1" customHeight="1" spans="2:33">
      <c r="B8" s="114" t="s">
        <v>14</v>
      </c>
      <c r="C8" s="533">
        <f t="shared" ref="C8:O8" si="0">SUM(C5:C7)</f>
        <v>81907.68</v>
      </c>
      <c r="D8" s="533">
        <f t="shared" si="0"/>
        <v>174147.89</v>
      </c>
      <c r="E8" s="533">
        <f t="shared" si="0"/>
        <v>269405.7</v>
      </c>
      <c r="F8" s="533">
        <f t="shared" si="0"/>
        <v>339449.38</v>
      </c>
      <c r="G8" s="533">
        <f t="shared" si="0"/>
        <v>342134.12</v>
      </c>
      <c r="H8" s="533">
        <f t="shared" si="0"/>
        <v>332713.5</v>
      </c>
      <c r="I8" s="533">
        <f t="shared" si="0"/>
        <v>381280.46</v>
      </c>
      <c r="J8" s="533">
        <f t="shared" si="0"/>
        <v>388578.72</v>
      </c>
      <c r="K8" s="533">
        <f t="shared" si="0"/>
        <v>338021.63</v>
      </c>
      <c r="L8" s="533">
        <f t="shared" si="0"/>
        <v>389092.5</v>
      </c>
      <c r="M8" s="533">
        <f>SUM(M5:M7)</f>
        <v>368351.67</v>
      </c>
      <c r="N8" s="533">
        <f>SUM(N5:N7)</f>
        <v>440321.61</v>
      </c>
      <c r="O8" s="534">
        <f t="shared" si="0"/>
        <v>3845404.86</v>
      </c>
      <c r="P8" s="535">
        <f>(N8/31-M8/30)/(M8/30)</f>
        <v>0.156823008558029</v>
      </c>
      <c r="Q8" s="536">
        <f>N8/31-M8/30</f>
        <v>1925.53390322581</v>
      </c>
      <c r="R8" s="498"/>
      <c r="T8" s="537" t="s">
        <v>14</v>
      </c>
      <c r="U8" s="533">
        <f t="shared" ref="U8:AG8" si="1">SUM(U5:U7)</f>
        <v>0</v>
      </c>
      <c r="V8" s="533">
        <f t="shared" si="1"/>
        <v>0</v>
      </c>
      <c r="W8" s="533">
        <f t="shared" si="1"/>
        <v>0</v>
      </c>
      <c r="X8" s="533">
        <f t="shared" si="1"/>
        <v>0</v>
      </c>
      <c r="Y8" s="533">
        <f t="shared" si="1"/>
        <v>0</v>
      </c>
      <c r="Z8" s="533">
        <f t="shared" si="1"/>
        <v>0</v>
      </c>
      <c r="AA8" s="533">
        <f t="shared" si="1"/>
        <v>0</v>
      </c>
      <c r="AB8" s="533">
        <f t="shared" si="1"/>
        <v>0</v>
      </c>
      <c r="AC8" s="533">
        <f t="shared" si="1"/>
        <v>0</v>
      </c>
      <c r="AD8" s="533">
        <f t="shared" si="1"/>
        <v>0</v>
      </c>
      <c r="AE8" s="533">
        <f t="shared" si="1"/>
        <v>105369.3</v>
      </c>
      <c r="AF8" s="533">
        <f t="shared" si="1"/>
        <v>92252</v>
      </c>
      <c r="AG8" s="536">
        <f t="shared" si="1"/>
        <v>197621.3</v>
      </c>
    </row>
    <row r="9" s="493" customFormat="1" customHeight="1" spans="2:33">
      <c r="B9" s="118"/>
      <c r="C9" s="538">
        <v>10000</v>
      </c>
      <c r="D9" s="538"/>
      <c r="E9" s="538"/>
      <c r="F9" s="538"/>
      <c r="G9" s="538"/>
      <c r="H9" s="538"/>
      <c r="I9" s="538"/>
      <c r="J9" s="538"/>
      <c r="K9" s="538"/>
      <c r="L9" s="538"/>
      <c r="M9" s="538"/>
      <c r="N9" s="538"/>
      <c r="O9" s="494">
        <f>O8/C9</f>
        <v>384.540486</v>
      </c>
      <c r="P9" s="494"/>
      <c r="Q9" s="494"/>
      <c r="R9" s="498"/>
    </row>
    <row r="10" s="493" customFormat="1" customHeight="1" spans="2:33">
      <c r="B10" s="497" t="s">
        <v>56</v>
      </c>
      <c r="C10" s="497"/>
      <c r="D10" s="497"/>
      <c r="E10" s="497"/>
      <c r="F10" s="497"/>
      <c r="G10" s="497"/>
      <c r="H10" s="497"/>
      <c r="I10" s="497"/>
      <c r="J10" s="497"/>
      <c r="K10" s="497"/>
      <c r="L10" s="497"/>
      <c r="M10" s="497"/>
      <c r="N10" s="497"/>
      <c r="O10" s="497"/>
      <c r="P10" s="497"/>
      <c r="Q10" s="497"/>
      <c r="R10" s="498"/>
      <c r="T10" s="497" t="s">
        <v>57</v>
      </c>
      <c r="U10" s="497"/>
      <c r="V10" s="497"/>
      <c r="W10" s="497"/>
      <c r="X10" s="497"/>
      <c r="Y10" s="497"/>
      <c r="Z10" s="497"/>
      <c r="AA10" s="497"/>
      <c r="AB10" s="497"/>
      <c r="AC10" s="497"/>
      <c r="AD10" s="497"/>
      <c r="AE10" s="497"/>
      <c r="AF10" s="497"/>
      <c r="AG10" s="497"/>
    </row>
    <row r="11" s="493" customFormat="1" ht="13" customHeight="1" spans="2:33">
      <c r="B11" s="499" t="s">
        <v>26</v>
      </c>
      <c r="C11" s="500" t="s">
        <v>2</v>
      </c>
      <c r="D11" s="500" t="s">
        <v>3</v>
      </c>
      <c r="E11" s="500" t="s">
        <v>4</v>
      </c>
      <c r="F11" s="500" t="s">
        <v>5</v>
      </c>
      <c r="G11" s="500" t="s">
        <v>6</v>
      </c>
      <c r="H11" s="500" t="s">
        <v>7</v>
      </c>
      <c r="I11" s="500" t="s">
        <v>8</v>
      </c>
      <c r="J11" s="500" t="s">
        <v>9</v>
      </c>
      <c r="K11" s="500" t="s">
        <v>10</v>
      </c>
      <c r="L11" s="500" t="s">
        <v>11</v>
      </c>
      <c r="M11" s="500" t="s">
        <v>12</v>
      </c>
      <c r="N11" s="500" t="s">
        <v>13</v>
      </c>
      <c r="O11" s="501" t="s">
        <v>14</v>
      </c>
      <c r="P11" s="502" t="s">
        <v>50</v>
      </c>
      <c r="Q11" s="503" t="s">
        <v>51</v>
      </c>
      <c r="R11" s="504" t="s">
        <v>52</v>
      </c>
      <c r="T11" s="100" t="s">
        <v>26</v>
      </c>
      <c r="U11" s="101" t="s">
        <v>2</v>
      </c>
      <c r="V11" s="101" t="s">
        <v>3</v>
      </c>
      <c r="W11" s="101" t="s">
        <v>4</v>
      </c>
      <c r="X11" s="101" t="s">
        <v>5</v>
      </c>
      <c r="Y11" s="101" t="s">
        <v>6</v>
      </c>
      <c r="Z11" s="101" t="s">
        <v>7</v>
      </c>
      <c r="AA11" s="101" t="s">
        <v>8</v>
      </c>
      <c r="AB11" s="101" t="s">
        <v>9</v>
      </c>
      <c r="AC11" s="101" t="s">
        <v>10</v>
      </c>
      <c r="AD11" s="101" t="s">
        <v>11</v>
      </c>
      <c r="AE11" s="101" t="s">
        <v>12</v>
      </c>
      <c r="AF11" s="101" t="s">
        <v>13</v>
      </c>
      <c r="AG11" s="123" t="s">
        <v>14</v>
      </c>
    </row>
    <row r="12" s="493" customFormat="1" ht="13" customHeight="1" spans="2:33">
      <c r="B12" s="505"/>
      <c r="C12" s="506"/>
      <c r="D12" s="506"/>
      <c r="E12" s="506"/>
      <c r="F12" s="506"/>
      <c r="G12" s="506"/>
      <c r="H12" s="506"/>
      <c r="I12" s="506"/>
      <c r="J12" s="506"/>
      <c r="K12" s="506"/>
      <c r="L12" s="506"/>
      <c r="M12" s="506"/>
      <c r="N12" s="506"/>
      <c r="O12" s="507"/>
      <c r="P12" s="508"/>
      <c r="Q12" s="509"/>
      <c r="R12" s="504"/>
      <c r="T12" s="105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26"/>
    </row>
    <row r="13" s="493" customFormat="1" customHeight="1" spans="2:33">
      <c r="B13" s="510" t="s">
        <v>53</v>
      </c>
      <c r="C13" s="539"/>
      <c r="D13" s="540">
        <v>11031</v>
      </c>
      <c r="E13" s="540">
        <v>16699</v>
      </c>
      <c r="F13" s="540">
        <v>15057</v>
      </c>
      <c r="G13" s="540">
        <v>15635</v>
      </c>
      <c r="H13" s="541">
        <v>14088</v>
      </c>
      <c r="I13" s="541">
        <v>15390</v>
      </c>
      <c r="J13" s="541">
        <v>17420</v>
      </c>
      <c r="K13" s="542">
        <v>15386</v>
      </c>
      <c r="L13" s="542">
        <v>17644</v>
      </c>
      <c r="M13" s="542">
        <v>16481</v>
      </c>
      <c r="N13" s="542">
        <v>19011</v>
      </c>
      <c r="O13" s="543">
        <f>SUM(C13:N13)</f>
        <v>173842</v>
      </c>
      <c r="P13" s="516">
        <f>(N13/31-M13/30)/(M13/30)</f>
        <v>0.116300099234505</v>
      </c>
      <c r="Q13" s="517">
        <f>N13/31-M13/30</f>
        <v>63.8913978494624</v>
      </c>
      <c r="R13" s="518"/>
      <c r="T13" s="544"/>
      <c r="U13" s="545"/>
      <c r="V13" s="545"/>
      <c r="W13" s="546"/>
      <c r="X13" s="547"/>
      <c r="Y13" s="547"/>
      <c r="Z13" s="547"/>
      <c r="AA13" s="547"/>
      <c r="AB13" s="547"/>
      <c r="AC13" s="547"/>
      <c r="AD13" s="547"/>
      <c r="AE13" s="547"/>
      <c r="AF13" s="547"/>
      <c r="AG13" s="548">
        <f>SUM(U13:AF13)</f>
        <v>0</v>
      </c>
    </row>
    <row r="14" s="493" customFormat="1" customHeight="1" spans="2:33">
      <c r="B14" s="510" t="s">
        <v>54</v>
      </c>
      <c r="C14" s="539">
        <v>9977</v>
      </c>
      <c r="D14" s="540">
        <v>9532</v>
      </c>
      <c r="E14" s="540">
        <v>9150</v>
      </c>
      <c r="F14" s="540">
        <v>8784</v>
      </c>
      <c r="G14" s="540">
        <v>9600</v>
      </c>
      <c r="H14" s="541">
        <v>8774</v>
      </c>
      <c r="I14" s="541">
        <v>9673</v>
      </c>
      <c r="J14" s="541">
        <v>9959</v>
      </c>
      <c r="K14" s="542">
        <v>10271</v>
      </c>
      <c r="L14" s="542">
        <v>11244</v>
      </c>
      <c r="M14" s="542">
        <v>11090</v>
      </c>
      <c r="N14" s="542">
        <v>12735</v>
      </c>
      <c r="O14" s="543">
        <f>SUM(C14:N14)</f>
        <v>120789</v>
      </c>
      <c r="P14" s="516">
        <f>(N14/31-M14/30)/(M14/30)</f>
        <v>0.111288868204427</v>
      </c>
      <c r="Q14" s="517">
        <f>N14/31-M14/30</f>
        <v>41.1397849462365</v>
      </c>
      <c r="R14" s="518">
        <f>N14/31-AF14/31</f>
        <v>42.2903225806452</v>
      </c>
      <c r="T14" s="544"/>
      <c r="U14" s="545"/>
      <c r="V14" s="545"/>
      <c r="W14" s="546"/>
      <c r="X14" s="547"/>
      <c r="Y14" s="547"/>
      <c r="Z14" s="547"/>
      <c r="AA14" s="547"/>
      <c r="AB14" s="547"/>
      <c r="AC14" s="547"/>
      <c r="AD14" s="547"/>
      <c r="AE14" s="549">
        <v>11983</v>
      </c>
      <c r="AF14" s="549">
        <v>11424</v>
      </c>
      <c r="AG14" s="548">
        <f>SUM(U14:AF14)</f>
        <v>23407</v>
      </c>
    </row>
    <row r="15" s="493" customFormat="1" customHeight="1" spans="2:33">
      <c r="B15" s="528" t="s">
        <v>55</v>
      </c>
      <c r="C15" s="539"/>
      <c r="D15" s="540"/>
      <c r="E15" s="540">
        <v>4374</v>
      </c>
      <c r="F15" s="540">
        <v>12463</v>
      </c>
      <c r="G15" s="540">
        <v>11248</v>
      </c>
      <c r="H15" s="541">
        <v>11659</v>
      </c>
      <c r="I15" s="541">
        <v>14095</v>
      </c>
      <c r="J15" s="541">
        <v>12587</v>
      </c>
      <c r="K15" s="542">
        <v>10681</v>
      </c>
      <c r="L15" s="542">
        <v>10796</v>
      </c>
      <c r="M15" s="542">
        <v>10313</v>
      </c>
      <c r="N15" s="542">
        <v>12806</v>
      </c>
      <c r="O15" s="543">
        <f>SUM(C15:N15)</f>
        <v>111022</v>
      </c>
      <c r="P15" s="516">
        <f>(N15/31-M15/30)/(M15/30)</f>
        <v>0.201677807214821</v>
      </c>
      <c r="Q15" s="517">
        <f>N15/31-M15/30</f>
        <v>69.3301075268818</v>
      </c>
      <c r="R15" s="518"/>
      <c r="T15" s="550"/>
      <c r="U15" s="545"/>
      <c r="V15" s="545"/>
      <c r="W15" s="546"/>
      <c r="X15" s="547"/>
      <c r="Y15" s="547"/>
      <c r="Z15" s="547"/>
      <c r="AA15" s="547"/>
      <c r="AB15" s="547"/>
      <c r="AC15" s="547"/>
      <c r="AD15" s="547"/>
      <c r="AE15" s="547"/>
      <c r="AF15" s="547"/>
      <c r="AG15" s="548">
        <f>SUM(U15:AF15)</f>
        <v>0</v>
      </c>
    </row>
    <row r="16" s="493" customFormat="1" customHeight="1" spans="2:33">
      <c r="B16" s="114" t="s">
        <v>14</v>
      </c>
      <c r="C16" s="551">
        <f t="shared" ref="C16:O16" si="2">SUM(C13:C15)</f>
        <v>9977</v>
      </c>
      <c r="D16" s="551">
        <f t="shared" si="2"/>
        <v>20563</v>
      </c>
      <c r="E16" s="551">
        <f t="shared" si="2"/>
        <v>30223</v>
      </c>
      <c r="F16" s="551">
        <f t="shared" si="2"/>
        <v>36304</v>
      </c>
      <c r="G16" s="551">
        <f t="shared" si="2"/>
        <v>36483</v>
      </c>
      <c r="H16" s="551">
        <f t="shared" si="2"/>
        <v>34521</v>
      </c>
      <c r="I16" s="551">
        <f t="shared" si="2"/>
        <v>39158</v>
      </c>
      <c r="J16" s="551">
        <f t="shared" si="2"/>
        <v>39966</v>
      </c>
      <c r="K16" s="551">
        <f t="shared" si="2"/>
        <v>36338</v>
      </c>
      <c r="L16" s="551">
        <f t="shared" si="2"/>
        <v>39684</v>
      </c>
      <c r="M16" s="551">
        <f t="shared" si="2"/>
        <v>37884</v>
      </c>
      <c r="N16" s="551">
        <f t="shared" si="2"/>
        <v>44552</v>
      </c>
      <c r="O16" s="552">
        <f t="shared" si="2"/>
        <v>405653</v>
      </c>
      <c r="P16" s="535">
        <f>(N16/31-M16/30)/(M16/30)</f>
        <v>0.138075142795835</v>
      </c>
      <c r="Q16" s="536">
        <f>N16/31-M16/30</f>
        <v>174.361290322581</v>
      </c>
      <c r="R16" s="498"/>
      <c r="T16" s="553" t="s">
        <v>14</v>
      </c>
      <c r="U16" s="554">
        <f t="shared" ref="U16:AG16" si="3">SUM(U13:U15)</f>
        <v>0</v>
      </c>
      <c r="V16" s="554">
        <f t="shared" si="3"/>
        <v>0</v>
      </c>
      <c r="W16" s="554">
        <f t="shared" si="3"/>
        <v>0</v>
      </c>
      <c r="X16" s="554">
        <f t="shared" si="3"/>
        <v>0</v>
      </c>
      <c r="Y16" s="554">
        <f t="shared" si="3"/>
        <v>0</v>
      </c>
      <c r="Z16" s="554">
        <f t="shared" si="3"/>
        <v>0</v>
      </c>
      <c r="AA16" s="554">
        <f t="shared" si="3"/>
        <v>0</v>
      </c>
      <c r="AB16" s="554">
        <f t="shared" si="3"/>
        <v>0</v>
      </c>
      <c r="AC16" s="554">
        <f t="shared" si="3"/>
        <v>0</v>
      </c>
      <c r="AD16" s="554">
        <f t="shared" si="3"/>
        <v>0</v>
      </c>
      <c r="AE16" s="554">
        <f t="shared" si="3"/>
        <v>11983</v>
      </c>
      <c r="AF16" s="554">
        <f t="shared" si="3"/>
        <v>11424</v>
      </c>
      <c r="AG16" s="555">
        <f t="shared" si="3"/>
        <v>23407</v>
      </c>
    </row>
    <row r="18" s="493" customFormat="1" customHeight="1" spans="2:33">
      <c r="B18" s="497" t="s">
        <v>58</v>
      </c>
      <c r="C18" s="497"/>
      <c r="D18" s="497"/>
      <c r="E18" s="497"/>
      <c r="F18" s="497"/>
      <c r="G18" s="497"/>
      <c r="H18" s="497"/>
      <c r="I18" s="497"/>
      <c r="J18" s="497"/>
      <c r="K18" s="497"/>
      <c r="L18" s="497"/>
      <c r="M18" s="497"/>
      <c r="N18" s="497"/>
      <c r="O18" s="497"/>
      <c r="P18" s="497"/>
      <c r="Q18" s="497"/>
      <c r="R18" s="494"/>
      <c r="T18" s="497" t="s">
        <v>59</v>
      </c>
      <c r="U18" s="497"/>
      <c r="V18" s="497"/>
      <c r="W18" s="497"/>
      <c r="X18" s="497"/>
      <c r="Y18" s="497"/>
      <c r="Z18" s="497"/>
      <c r="AA18" s="497"/>
      <c r="AB18" s="497"/>
      <c r="AC18" s="497"/>
      <c r="AD18" s="497"/>
      <c r="AE18" s="497"/>
      <c r="AF18" s="497"/>
      <c r="AG18" s="497"/>
    </row>
    <row r="19" s="493" customFormat="1" ht="14" customHeight="1" spans="2:33">
      <c r="B19" s="499" t="s">
        <v>26</v>
      </c>
      <c r="C19" s="500" t="s">
        <v>2</v>
      </c>
      <c r="D19" s="500" t="s">
        <v>3</v>
      </c>
      <c r="E19" s="500" t="s">
        <v>4</v>
      </c>
      <c r="F19" s="500" t="s">
        <v>5</v>
      </c>
      <c r="G19" s="500" t="s">
        <v>6</v>
      </c>
      <c r="H19" s="500" t="s">
        <v>7</v>
      </c>
      <c r="I19" s="500" t="s">
        <v>8</v>
      </c>
      <c r="J19" s="500" t="s">
        <v>9</v>
      </c>
      <c r="K19" s="500" t="s">
        <v>10</v>
      </c>
      <c r="L19" s="500" t="s">
        <v>11</v>
      </c>
      <c r="M19" s="500" t="s">
        <v>12</v>
      </c>
      <c r="N19" s="500" t="s">
        <v>13</v>
      </c>
      <c r="O19" s="500" t="s">
        <v>14</v>
      </c>
      <c r="P19" s="556" t="s">
        <v>51</v>
      </c>
      <c r="Q19" s="557"/>
      <c r="R19" s="494"/>
      <c r="T19" s="100" t="s">
        <v>26</v>
      </c>
      <c r="U19" s="101" t="s">
        <v>2</v>
      </c>
      <c r="V19" s="101" t="s">
        <v>3</v>
      </c>
      <c r="W19" s="101" t="s">
        <v>4</v>
      </c>
      <c r="X19" s="101" t="s">
        <v>5</v>
      </c>
      <c r="Y19" s="102" t="s">
        <v>6</v>
      </c>
      <c r="Z19" s="102" t="s">
        <v>7</v>
      </c>
      <c r="AA19" s="102" t="s">
        <v>8</v>
      </c>
      <c r="AB19" s="102" t="s">
        <v>9</v>
      </c>
      <c r="AC19" s="102" t="s">
        <v>10</v>
      </c>
      <c r="AD19" s="102" t="s">
        <v>11</v>
      </c>
      <c r="AE19" s="102" t="s">
        <v>12</v>
      </c>
      <c r="AF19" s="102" t="s">
        <v>13</v>
      </c>
      <c r="AG19" s="123" t="s">
        <v>14</v>
      </c>
    </row>
    <row r="20" s="493" customFormat="1" ht="14" customHeight="1" spans="2:33">
      <c r="B20" s="505"/>
      <c r="C20" s="506"/>
      <c r="D20" s="506"/>
      <c r="E20" s="506"/>
      <c r="F20" s="506"/>
      <c r="G20" s="506"/>
      <c r="H20" s="506"/>
      <c r="I20" s="506"/>
      <c r="J20" s="506"/>
      <c r="K20" s="506"/>
      <c r="L20" s="506"/>
      <c r="M20" s="506"/>
      <c r="N20" s="506"/>
      <c r="O20" s="506"/>
      <c r="P20" s="558"/>
      <c r="Q20" s="557"/>
      <c r="R20" s="494"/>
      <c r="T20" s="105"/>
      <c r="U20" s="106"/>
      <c r="V20" s="106"/>
      <c r="W20" s="106"/>
      <c r="X20" s="106"/>
      <c r="Y20" s="107"/>
      <c r="Z20" s="107"/>
      <c r="AA20" s="107"/>
      <c r="AB20" s="107"/>
      <c r="AC20" s="107"/>
      <c r="AD20" s="107"/>
      <c r="AE20" s="107"/>
      <c r="AF20" s="107"/>
      <c r="AG20" s="126"/>
    </row>
    <row r="21" s="493" customFormat="1" customHeight="1" spans="2:33">
      <c r="B21" s="510" t="s">
        <v>53</v>
      </c>
      <c r="C21" s="511"/>
      <c r="D21" s="511">
        <f t="shared" ref="C21:K21" si="4">D5/D13</f>
        <v>9.0695585169069</v>
      </c>
      <c r="E21" s="511">
        <f t="shared" si="4"/>
        <v>9.32875621294688</v>
      </c>
      <c r="F21" s="511">
        <f t="shared" si="4"/>
        <v>9.43992827256426</v>
      </c>
      <c r="G21" s="511">
        <f t="shared" si="4"/>
        <v>9.34499328429805</v>
      </c>
      <c r="H21" s="511">
        <f t="shared" si="4"/>
        <v>9.40400340715503</v>
      </c>
      <c r="I21" s="511">
        <f t="shared" si="4"/>
        <v>9.71409616634178</v>
      </c>
      <c r="J21" s="511">
        <f t="shared" si="4"/>
        <v>9.49789954075775</v>
      </c>
      <c r="K21" s="511">
        <f t="shared" si="4"/>
        <v>9.00692382685558</v>
      </c>
      <c r="L21" s="511">
        <v>9.55041827250057</v>
      </c>
      <c r="M21" s="511">
        <v>9.36822462229234</v>
      </c>
      <c r="N21" s="511">
        <v>9.52369102098785</v>
      </c>
      <c r="O21" s="511">
        <f>O5/O13</f>
        <v>9.39963202218106</v>
      </c>
      <c r="P21" s="559">
        <f>N21-M21</f>
        <v>0.155466398695509</v>
      </c>
      <c r="Q21" s="560"/>
      <c r="R21" s="494"/>
      <c r="T21" s="510"/>
      <c r="U21" s="511" t="e">
        <f t="shared" ref="U21:AC21" si="5">U5/U13</f>
        <v>#DIV/0!</v>
      </c>
      <c r="V21" s="511" t="e">
        <f t="shared" si="5"/>
        <v>#DIV/0!</v>
      </c>
      <c r="W21" s="511" t="e">
        <f t="shared" si="5"/>
        <v>#DIV/0!</v>
      </c>
      <c r="X21" s="511" t="e">
        <f t="shared" si="5"/>
        <v>#DIV/0!</v>
      </c>
      <c r="Y21" s="511" t="e">
        <f t="shared" si="5"/>
        <v>#DIV/0!</v>
      </c>
      <c r="Z21" s="511" t="e">
        <f t="shared" si="5"/>
        <v>#DIV/0!</v>
      </c>
      <c r="AA21" s="511" t="e">
        <f t="shared" si="5"/>
        <v>#DIV/0!</v>
      </c>
      <c r="AB21" s="511" t="e">
        <f t="shared" si="5"/>
        <v>#DIV/0!</v>
      </c>
      <c r="AC21" s="511" t="e">
        <f t="shared" si="5"/>
        <v>#DIV/0!</v>
      </c>
      <c r="AD21" s="511"/>
      <c r="AE21" s="511"/>
      <c r="AF21" s="511"/>
      <c r="AG21" s="561" t="e">
        <f>AVERAGE(U21:AF21)</f>
        <v>#DIV/0!</v>
      </c>
    </row>
    <row r="22" s="493" customFormat="1" customHeight="1" spans="2:33">
      <c r="B22" s="510" t="s">
        <v>54</v>
      </c>
      <c r="C22" s="511">
        <f t="shared" ref="C22:K22" si="6">C6/C14</f>
        <v>8.20965019544953</v>
      </c>
      <c r="D22" s="511">
        <f t="shared" si="6"/>
        <v>7.77398132605959</v>
      </c>
      <c r="E22" s="511">
        <f t="shared" si="6"/>
        <v>7.84767213114754</v>
      </c>
      <c r="F22" s="511">
        <f t="shared" si="6"/>
        <v>7.95234289617486</v>
      </c>
      <c r="G22" s="511">
        <f t="shared" si="6"/>
        <v>8.39223020833333</v>
      </c>
      <c r="H22" s="511">
        <f t="shared" si="6"/>
        <v>8.58758149076818</v>
      </c>
      <c r="I22" s="511">
        <f t="shared" si="6"/>
        <v>8.76354595265171</v>
      </c>
      <c r="J22" s="511">
        <f t="shared" si="6"/>
        <v>8.77183552565519</v>
      </c>
      <c r="K22" s="511">
        <f t="shared" si="6"/>
        <v>8.64440073994743</v>
      </c>
      <c r="L22" s="511">
        <v>8.98408306652437</v>
      </c>
      <c r="M22" s="511">
        <v>9.1037826871055</v>
      </c>
      <c r="N22" s="511">
        <v>9.45801334903808</v>
      </c>
      <c r="O22" s="511">
        <f>O6/O14</f>
        <v>8.58457814867248</v>
      </c>
      <c r="P22" s="562">
        <f>N22-M22</f>
        <v>0.354230661932579</v>
      </c>
      <c r="Q22" s="563"/>
      <c r="R22" s="494"/>
      <c r="T22" s="510"/>
      <c r="U22" s="511" t="e">
        <f t="shared" ref="U22:AC22" si="7">U6/U14</f>
        <v>#DIV/0!</v>
      </c>
      <c r="V22" s="511" t="e">
        <f t="shared" si="7"/>
        <v>#DIV/0!</v>
      </c>
      <c r="W22" s="511" t="e">
        <f t="shared" si="7"/>
        <v>#DIV/0!</v>
      </c>
      <c r="X22" s="511" t="e">
        <f t="shared" si="7"/>
        <v>#DIV/0!</v>
      </c>
      <c r="Y22" s="511" t="e">
        <f t="shared" si="7"/>
        <v>#DIV/0!</v>
      </c>
      <c r="Z22" s="511" t="e">
        <f t="shared" si="7"/>
        <v>#DIV/0!</v>
      </c>
      <c r="AA22" s="511" t="e">
        <f t="shared" si="7"/>
        <v>#DIV/0!</v>
      </c>
      <c r="AB22" s="511" t="e">
        <f t="shared" si="7"/>
        <v>#DIV/0!</v>
      </c>
      <c r="AC22" s="511" t="e">
        <f t="shared" si="7"/>
        <v>#DIV/0!</v>
      </c>
      <c r="AD22" s="511"/>
      <c r="AE22" s="511">
        <v>8.79323207877827</v>
      </c>
      <c r="AF22" s="511">
        <v>8.07528011204482</v>
      </c>
      <c r="AG22" s="561">
        <f>AG6/AG14</f>
        <v>8.44282906822745</v>
      </c>
    </row>
    <row r="23" s="493" customFormat="1" customHeight="1" spans="2:33">
      <c r="B23" s="528" t="s">
        <v>55</v>
      </c>
      <c r="C23" s="511"/>
      <c r="D23" s="511"/>
      <c r="E23" s="511">
        <f t="shared" ref="C23:K23" si="8">E7/E15</f>
        <v>9.56072245084591</v>
      </c>
      <c r="F23" s="511">
        <f t="shared" si="8"/>
        <v>10.2269918960122</v>
      </c>
      <c r="G23" s="511">
        <f t="shared" si="8"/>
        <v>10.2649128733997</v>
      </c>
      <c r="H23" s="511">
        <f t="shared" si="8"/>
        <v>10.7112496783601</v>
      </c>
      <c r="I23" s="511">
        <f t="shared" si="8"/>
        <v>10.4299921958141</v>
      </c>
      <c r="J23" s="511">
        <f t="shared" si="8"/>
        <v>10.7862556606022</v>
      </c>
      <c r="K23" s="511">
        <f t="shared" si="8"/>
        <v>10.3599344630653</v>
      </c>
      <c r="L23" s="511">
        <v>11.0752028529085</v>
      </c>
      <c r="M23" s="511">
        <v>10.9563667216135</v>
      </c>
      <c r="N23" s="511">
        <v>10.5211775598806</v>
      </c>
      <c r="O23" s="511">
        <f>O7/O15</f>
        <v>10.5783666300373</v>
      </c>
      <c r="P23" s="564">
        <f>N23-M23</f>
        <v>-0.4351891617329</v>
      </c>
      <c r="Q23" s="560"/>
      <c r="R23" s="494"/>
      <c r="T23" s="528"/>
      <c r="U23" s="511" t="e">
        <f t="shared" ref="U23:AC23" si="9">U7/U15</f>
        <v>#DIV/0!</v>
      </c>
      <c r="V23" s="511" t="e">
        <f t="shared" si="9"/>
        <v>#DIV/0!</v>
      </c>
      <c r="W23" s="511" t="e">
        <f t="shared" si="9"/>
        <v>#DIV/0!</v>
      </c>
      <c r="X23" s="511" t="e">
        <f t="shared" si="9"/>
        <v>#DIV/0!</v>
      </c>
      <c r="Y23" s="511" t="e">
        <f t="shared" si="9"/>
        <v>#DIV/0!</v>
      </c>
      <c r="Z23" s="511" t="e">
        <f t="shared" si="9"/>
        <v>#DIV/0!</v>
      </c>
      <c r="AA23" s="511" t="e">
        <f t="shared" si="9"/>
        <v>#DIV/0!</v>
      </c>
      <c r="AB23" s="511" t="e">
        <f t="shared" si="9"/>
        <v>#DIV/0!</v>
      </c>
      <c r="AC23" s="511" t="e">
        <f t="shared" si="9"/>
        <v>#DIV/0!</v>
      </c>
      <c r="AD23" s="511"/>
      <c r="AE23" s="511"/>
      <c r="AF23" s="511"/>
      <c r="AG23" s="561" t="e">
        <f>AVERAGE(U23:AF23)</f>
        <v>#DIV/0!</v>
      </c>
    </row>
    <row r="24" s="493" customFormat="1" customHeight="1" spans="2:33">
      <c r="B24" s="114" t="s">
        <v>14</v>
      </c>
      <c r="C24" s="565">
        <f t="shared" ref="C24:N24" si="10">C8/C16</f>
        <v>8.20965019544953</v>
      </c>
      <c r="D24" s="565">
        <f t="shared" si="10"/>
        <v>8.4689923649273</v>
      </c>
      <c r="E24" s="565">
        <f t="shared" si="10"/>
        <v>8.91392978857162</v>
      </c>
      <c r="F24" s="565">
        <f t="shared" si="10"/>
        <v>9.35019226531512</v>
      </c>
      <c r="G24" s="565">
        <f t="shared" si="10"/>
        <v>9.37790532576817</v>
      </c>
      <c r="H24" s="565">
        <f t="shared" si="10"/>
        <v>9.63800295472321</v>
      </c>
      <c r="I24" s="565">
        <f t="shared" si="10"/>
        <v>9.73697481996016</v>
      </c>
      <c r="J24" s="565">
        <f t="shared" si="10"/>
        <v>9.7227323224741</v>
      </c>
      <c r="K24" s="565">
        <f t="shared" si="10"/>
        <v>9.30215284275414</v>
      </c>
      <c r="L24" s="565">
        <f t="shared" si="10"/>
        <v>9.80477018445721</v>
      </c>
      <c r="M24" s="565">
        <f t="shared" si="10"/>
        <v>9.72314618308521</v>
      </c>
      <c r="N24" s="565">
        <f t="shared" si="10"/>
        <v>9.88331859400251</v>
      </c>
      <c r="O24" s="565">
        <f>O8/O16</f>
        <v>9.47954251540109</v>
      </c>
      <c r="P24" s="566">
        <f>N24-M24</f>
        <v>0.160172410917307</v>
      </c>
      <c r="Q24" s="560"/>
      <c r="R24" s="494"/>
      <c r="T24" s="114" t="s">
        <v>14</v>
      </c>
      <c r="U24" s="565" t="e">
        <f t="shared" ref="U24:AC24" si="11">U8/U16</f>
        <v>#DIV/0!</v>
      </c>
      <c r="V24" s="565" t="e">
        <f t="shared" si="11"/>
        <v>#DIV/0!</v>
      </c>
      <c r="W24" s="565" t="e">
        <f t="shared" si="11"/>
        <v>#DIV/0!</v>
      </c>
      <c r="X24" s="565" t="e">
        <f t="shared" si="11"/>
        <v>#DIV/0!</v>
      </c>
      <c r="Y24" s="565" t="e">
        <f t="shared" si="11"/>
        <v>#DIV/0!</v>
      </c>
      <c r="Z24" s="565" t="e">
        <f t="shared" si="11"/>
        <v>#DIV/0!</v>
      </c>
      <c r="AA24" s="565" t="e">
        <f t="shared" si="11"/>
        <v>#DIV/0!</v>
      </c>
      <c r="AB24" s="565" t="e">
        <f t="shared" si="11"/>
        <v>#DIV/0!</v>
      </c>
      <c r="AC24" s="565" t="e">
        <f t="shared" si="11"/>
        <v>#DIV/0!</v>
      </c>
      <c r="AD24" s="565"/>
      <c r="AE24" s="565"/>
      <c r="AF24" s="565"/>
      <c r="AG24" s="567" t="e">
        <f>AVERAGE(U24:AF24)</f>
        <v>#DIV/0!</v>
      </c>
    </row>
  </sheetData>
  <mergeCells count="98">
    <mergeCell ref="B2:Q2"/>
    <mergeCell ref="T2:AG2"/>
    <mergeCell ref="B10:Q10"/>
    <mergeCell ref="T10:AG10"/>
    <mergeCell ref="B18:Q18"/>
    <mergeCell ref="T18:AG18"/>
    <mergeCell ref="B3:B4"/>
    <mergeCell ref="B11:B12"/>
    <mergeCell ref="B19:B20"/>
    <mergeCell ref="C3:C4"/>
    <mergeCell ref="C11:C12"/>
    <mergeCell ref="C19:C20"/>
    <mergeCell ref="D3:D4"/>
    <mergeCell ref="D11:D12"/>
    <mergeCell ref="D19:D20"/>
    <mergeCell ref="E3:E4"/>
    <mergeCell ref="E11:E12"/>
    <mergeCell ref="E19:E20"/>
    <mergeCell ref="F3:F4"/>
    <mergeCell ref="F11:F12"/>
    <mergeCell ref="F19:F20"/>
    <mergeCell ref="G3:G4"/>
    <mergeCell ref="G11:G12"/>
    <mergeCell ref="G19:G20"/>
    <mergeCell ref="H3:H4"/>
    <mergeCell ref="H11:H12"/>
    <mergeCell ref="H19:H20"/>
    <mergeCell ref="I3:I4"/>
    <mergeCell ref="I11:I12"/>
    <mergeCell ref="I19:I20"/>
    <mergeCell ref="J3:J4"/>
    <mergeCell ref="J11:J12"/>
    <mergeCell ref="J19:J20"/>
    <mergeCell ref="K3:K4"/>
    <mergeCell ref="K11:K12"/>
    <mergeCell ref="K19:K20"/>
    <mergeCell ref="L3:L4"/>
    <mergeCell ref="L11:L12"/>
    <mergeCell ref="L19:L20"/>
    <mergeCell ref="M3:M4"/>
    <mergeCell ref="M11:M12"/>
    <mergeCell ref="M19:M20"/>
    <mergeCell ref="N3:N4"/>
    <mergeCell ref="N11:N12"/>
    <mergeCell ref="N19:N20"/>
    <mergeCell ref="O3:O4"/>
    <mergeCell ref="O11:O12"/>
    <mergeCell ref="O19:O20"/>
    <mergeCell ref="P3:P4"/>
    <mergeCell ref="P11:P12"/>
    <mergeCell ref="P19:P20"/>
    <mergeCell ref="Q3:Q4"/>
    <mergeCell ref="Q11:Q12"/>
    <mergeCell ref="Q19:Q20"/>
    <mergeCell ref="R3:R4"/>
    <mergeCell ref="R11:R12"/>
    <mergeCell ref="T3:T4"/>
    <mergeCell ref="T11:T12"/>
    <mergeCell ref="T19:T20"/>
    <mergeCell ref="U3:U4"/>
    <mergeCell ref="U11:U12"/>
    <mergeCell ref="U19:U20"/>
    <mergeCell ref="V3:V4"/>
    <mergeCell ref="V11:V12"/>
    <mergeCell ref="V19:V20"/>
    <mergeCell ref="W3:W4"/>
    <mergeCell ref="W11:W12"/>
    <mergeCell ref="W19:W20"/>
    <mergeCell ref="X3:X4"/>
    <mergeCell ref="X11:X12"/>
    <mergeCell ref="X19:X20"/>
    <mergeCell ref="Y3:Y4"/>
    <mergeCell ref="Y11:Y12"/>
    <mergeCell ref="Y19:Y20"/>
    <mergeCell ref="Z3:Z4"/>
    <mergeCell ref="Z11:Z12"/>
    <mergeCell ref="Z19:Z20"/>
    <mergeCell ref="AA3:AA4"/>
    <mergeCell ref="AA11:AA12"/>
    <mergeCell ref="AA19:AA20"/>
    <mergeCell ref="AB3:AB4"/>
    <mergeCell ref="AB11:AB12"/>
    <mergeCell ref="AB19:AB20"/>
    <mergeCell ref="AC3:AC4"/>
    <mergeCell ref="AC11:AC12"/>
    <mergeCell ref="AC19:AC20"/>
    <mergeCell ref="AD3:AD4"/>
    <mergeCell ref="AD11:AD12"/>
    <mergeCell ref="AD19:AD20"/>
    <mergeCell ref="AE3:AE4"/>
    <mergeCell ref="AE11:AE12"/>
    <mergeCell ref="AE19:AE20"/>
    <mergeCell ref="AF3:AF4"/>
    <mergeCell ref="AF11:AF12"/>
    <mergeCell ref="AF19:AF20"/>
    <mergeCell ref="AG3:AG4"/>
    <mergeCell ref="AG11:AG12"/>
    <mergeCell ref="AG19:AG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"/>
  <sheetViews>
    <sheetView zoomScale="171" zoomScaleNormal="171" workbookViewId="0">
      <pane xSplit="4" ySplit="3" topLeftCell="V4" activePane="bottomRight" state="frozen"/>
      <selection/>
      <selection pane="topRight"/>
      <selection pane="bottomLeft"/>
      <selection pane="bottomRight" activeCell="L31" sqref="L31"/>
    </sheetView>
  </sheetViews>
  <sheetFormatPr defaultColWidth="9.23076923076923" defaultRowHeight="16.8"/>
  <cols>
    <col min="4" max="4" width="19.4423076923077" customWidth="1"/>
    <col min="5" max="5" width="15.5673076923077" customWidth="1"/>
    <col min="6" max="6" width="13.2980769230769" customWidth="1"/>
    <col min="8" max="8" width="13.2307692307692" hidden="1" customWidth="1"/>
    <col min="9" max="9" width="14.6923076923077"/>
    <col min="10" max="10" width="13.2307692307692"/>
    <col min="12" max="12" width="14.6923076923077"/>
    <col min="13" max="13" width="13.2307692307692"/>
    <col min="14" max="14" width="11.8461538461538"/>
    <col min="16" max="16" width="13.2307692307692" hidden="1" customWidth="1"/>
    <col min="17" max="17" width="13.2307692307692"/>
    <col min="18" max="18" width="11.8461538461538"/>
    <col min="20" max="20" width="13.2307692307692" hidden="1" customWidth="1"/>
    <col min="21" max="21" width="13.2307692307692"/>
    <col min="22" max="22" width="11.8461538461538"/>
    <col min="24" max="24" width="13.2307692307692" hidden="1" customWidth="1"/>
    <col min="25" max="25" width="13.6153846153846" customWidth="1"/>
    <col min="26" max="26" width="16.3461538461538" customWidth="1"/>
    <col min="27" max="27" width="16.3365384615385" customWidth="1"/>
    <col min="28" max="30" width="14.0961538461538" customWidth="1"/>
  </cols>
  <sheetData>
    <row r="1" spans="1:30">
      <c r="A1" s="459" t="s">
        <v>60</v>
      </c>
      <c r="B1" s="460" t="s">
        <v>61</v>
      </c>
      <c r="C1" s="461" t="s">
        <v>62</v>
      </c>
      <c r="D1" s="460" t="s">
        <v>26</v>
      </c>
      <c r="E1" s="462" t="s">
        <v>63</v>
      </c>
      <c r="F1" s="462" t="s">
        <v>64</v>
      </c>
      <c r="G1" s="462" t="s">
        <v>65</v>
      </c>
      <c r="H1" s="463" t="s">
        <v>66</v>
      </c>
      <c r="I1" s="463" t="s">
        <v>67</v>
      </c>
      <c r="J1" s="463" t="s">
        <v>68</v>
      </c>
      <c r="K1" s="463" t="s">
        <v>69</v>
      </c>
      <c r="L1" s="463" t="s">
        <v>70</v>
      </c>
      <c r="M1" s="464" t="s">
        <v>71</v>
      </c>
      <c r="N1" s="464" t="s">
        <v>72</v>
      </c>
      <c r="O1" s="464" t="s">
        <v>73</v>
      </c>
      <c r="P1" s="464" t="s">
        <v>74</v>
      </c>
      <c r="Q1" s="464" t="s">
        <v>75</v>
      </c>
      <c r="R1" s="464" t="s">
        <v>76</v>
      </c>
      <c r="S1" s="464" t="s">
        <v>77</v>
      </c>
      <c r="T1" s="464" t="s">
        <v>78</v>
      </c>
      <c r="U1" s="464" t="s">
        <v>79</v>
      </c>
      <c r="V1" s="464" t="s">
        <v>80</v>
      </c>
      <c r="W1" s="464" t="s">
        <v>81</v>
      </c>
      <c r="X1" s="465" t="s">
        <v>82</v>
      </c>
      <c r="Y1" s="466" t="s">
        <v>83</v>
      </c>
      <c r="Z1" s="467" t="s">
        <v>84</v>
      </c>
      <c r="AA1" s="467" t="s">
        <v>85</v>
      </c>
      <c r="AB1" s="468" t="s">
        <v>86</v>
      </c>
      <c r="AC1" s="469" t="s">
        <v>87</v>
      </c>
      <c r="AD1" s="470" t="s">
        <v>88</v>
      </c>
    </row>
    <row r="2" spans="1:30">
      <c r="A2" s="471"/>
      <c r="B2" s="472"/>
      <c r="C2" s="473"/>
      <c r="D2" s="472"/>
      <c r="E2" s="398"/>
      <c r="F2" s="398"/>
      <c r="G2" s="398"/>
      <c r="H2" s="401"/>
      <c r="I2" s="401"/>
      <c r="J2" s="401"/>
      <c r="K2" s="401"/>
      <c r="L2" s="401"/>
      <c r="M2" s="402"/>
      <c r="N2" s="402"/>
      <c r="O2" s="402"/>
      <c r="P2" s="402"/>
      <c r="Q2" s="402"/>
      <c r="R2" s="402"/>
      <c r="S2" s="402"/>
      <c r="T2" s="402"/>
      <c r="U2" s="402"/>
      <c r="V2" s="402"/>
      <c r="W2" s="402"/>
      <c r="X2" s="474"/>
      <c r="Y2" s="475"/>
      <c r="Z2" s="476"/>
      <c r="AA2" s="476"/>
      <c r="AB2" s="477"/>
      <c r="AC2" s="478"/>
      <c r="AD2" s="479"/>
    </row>
    <row r="3" spans="1:30">
      <c r="A3" s="471"/>
      <c r="B3" s="472"/>
      <c r="C3" s="473"/>
      <c r="D3" s="472"/>
      <c r="E3" s="398"/>
      <c r="F3" s="398"/>
      <c r="G3" s="398"/>
      <c r="H3" s="401"/>
      <c r="I3" s="401"/>
      <c r="J3" s="401"/>
      <c r="K3" s="401"/>
      <c r="L3" s="401"/>
      <c r="M3" s="402"/>
      <c r="N3" s="402"/>
      <c r="O3" s="402"/>
      <c r="P3" s="402"/>
      <c r="Q3" s="402"/>
      <c r="R3" s="402"/>
      <c r="S3" s="402"/>
      <c r="T3" s="402"/>
      <c r="U3" s="402"/>
      <c r="V3" s="402"/>
      <c r="W3" s="402"/>
      <c r="X3" s="474"/>
      <c r="Y3" s="475"/>
      <c r="Z3" s="476"/>
      <c r="AA3" s="476"/>
      <c r="AB3" s="477"/>
      <c r="AC3" s="478"/>
      <c r="AD3" s="479"/>
    </row>
    <row r="4" s="458" customFormat="1" ht="18" spans="1:30">
      <c r="A4" s="480">
        <v>1</v>
      </c>
      <c r="B4" s="423" t="s">
        <v>89</v>
      </c>
      <c r="C4" s="424" t="s">
        <v>90</v>
      </c>
      <c r="D4" s="425" t="s">
        <v>91</v>
      </c>
      <c r="E4" s="426">
        <v>1424190.44</v>
      </c>
      <c r="F4" s="427">
        <v>152774</v>
      </c>
      <c r="G4" s="428">
        <f t="shared" ref="G4:G12" si="0">E4/F4</f>
        <v>9.3222043017791</v>
      </c>
      <c r="H4" s="436">
        <v>6366.96</v>
      </c>
      <c r="I4" s="429">
        <v>0</v>
      </c>
      <c r="J4" s="429">
        <v>0</v>
      </c>
      <c r="K4" s="430">
        <v>0</v>
      </c>
      <c r="L4" s="429">
        <v>0</v>
      </c>
      <c r="M4" s="429"/>
      <c r="N4" s="429"/>
      <c r="O4" s="430">
        <v>0</v>
      </c>
      <c r="P4" s="429"/>
      <c r="Q4" s="429"/>
      <c r="R4" s="429"/>
      <c r="S4" s="430">
        <v>0</v>
      </c>
      <c r="T4" s="429"/>
      <c r="U4" s="426"/>
      <c r="V4" s="427"/>
      <c r="W4" s="430">
        <v>0</v>
      </c>
      <c r="X4" s="481"/>
      <c r="Y4" s="431">
        <f>E4</f>
        <v>1424190.44</v>
      </c>
      <c r="Z4" s="432">
        <f>E4/Y4</f>
        <v>1</v>
      </c>
      <c r="AA4" s="432">
        <f>I4/Y4</f>
        <v>0</v>
      </c>
      <c r="AB4" s="432">
        <f>M4/Y4</f>
        <v>0</v>
      </c>
      <c r="AC4" s="432">
        <f>Q4/Y4</f>
        <v>0</v>
      </c>
      <c r="AD4" s="433">
        <f>U4/Y4</f>
        <v>0</v>
      </c>
    </row>
    <row r="5" s="458" customFormat="1" ht="18" spans="1:30">
      <c r="A5" s="480">
        <v>2</v>
      </c>
      <c r="B5" s="423" t="s">
        <v>89</v>
      </c>
      <c r="C5" s="424" t="s">
        <v>92</v>
      </c>
      <c r="D5" s="425" t="s">
        <v>93</v>
      </c>
      <c r="E5" s="426">
        <v>1549428.54</v>
      </c>
      <c r="F5" s="427">
        <v>148353</v>
      </c>
      <c r="G5" s="482">
        <f t="shared" si="0"/>
        <v>10.4442009261693</v>
      </c>
      <c r="H5" s="436">
        <v>6970.25</v>
      </c>
      <c r="I5" s="429">
        <f t="shared" ref="I5:L5" si="1">M5+Q5+U5</f>
        <v>147529.15</v>
      </c>
      <c r="J5" s="429">
        <f t="shared" si="1"/>
        <v>10915</v>
      </c>
      <c r="K5" s="434">
        <f t="shared" ref="K5:K12" si="2">I5/J5</f>
        <v>13.5161841502519</v>
      </c>
      <c r="L5" s="429">
        <f t="shared" si="1"/>
        <v>153491.77</v>
      </c>
      <c r="M5" s="426">
        <v>34635.59</v>
      </c>
      <c r="N5" s="427">
        <v>2458</v>
      </c>
      <c r="O5" s="430">
        <f t="shared" ref="O5:O12" si="3">M5/N5</f>
        <v>14.0909641985354</v>
      </c>
      <c r="P5" s="436">
        <v>37762.71</v>
      </c>
      <c r="Q5" s="426">
        <v>60484.84</v>
      </c>
      <c r="R5" s="427">
        <v>4871</v>
      </c>
      <c r="S5" s="430">
        <f t="shared" ref="S5:S12" si="4">Q5/R5</f>
        <v>12.4173352494354</v>
      </c>
      <c r="T5" s="436">
        <v>72355.6</v>
      </c>
      <c r="U5" s="426">
        <v>52408.72</v>
      </c>
      <c r="V5" s="427">
        <v>3586</v>
      </c>
      <c r="W5" s="430">
        <f t="shared" ref="W5:W12" si="5">U5/V5</f>
        <v>14.6148131622978</v>
      </c>
      <c r="X5" s="481">
        <v>43373.46</v>
      </c>
      <c r="Y5" s="431">
        <f>E5+I5</f>
        <v>1696957.69</v>
      </c>
      <c r="Z5" s="432">
        <f t="shared" ref="Z5:Z12" si="6">E5/Y5</f>
        <v>0.913062564335355</v>
      </c>
      <c r="AA5" s="432">
        <f t="shared" ref="AA5:AA11" si="7">I5/Y5</f>
        <v>0.0869374356646452</v>
      </c>
      <c r="AB5" s="432">
        <f t="shared" ref="AB5:AB12" si="8">M5/Y5</f>
        <v>0.0204104028073911</v>
      </c>
      <c r="AC5" s="432">
        <f t="shared" ref="AC5:AC12" si="9">Q5/Y5</f>
        <v>0.0356431043369148</v>
      </c>
      <c r="AD5" s="433">
        <f t="shared" ref="AD5:AD12" si="10">U5/Y5</f>
        <v>0.0308839285203392</v>
      </c>
    </row>
    <row r="6" s="458" customFormat="1" ht="18" spans="1:30">
      <c r="A6" s="480">
        <v>3</v>
      </c>
      <c r="B6" s="423" t="s">
        <v>89</v>
      </c>
      <c r="C6" s="437" t="s">
        <v>94</v>
      </c>
      <c r="D6" s="438" t="s">
        <v>95</v>
      </c>
      <c r="E6" s="426">
        <v>2010395.76</v>
      </c>
      <c r="F6" s="427">
        <v>205286</v>
      </c>
      <c r="G6" s="428">
        <f t="shared" si="0"/>
        <v>9.79314595247606</v>
      </c>
      <c r="H6" s="442">
        <v>552.04</v>
      </c>
      <c r="I6" s="429">
        <f t="shared" ref="I6:L6" si="11">M6+Q6+U6</f>
        <v>189599.52</v>
      </c>
      <c r="J6" s="429">
        <f t="shared" si="11"/>
        <v>14589</v>
      </c>
      <c r="K6" s="430">
        <f t="shared" si="2"/>
        <v>12.9960600452396</v>
      </c>
      <c r="L6" s="429">
        <f t="shared" si="11"/>
        <v>199893.15</v>
      </c>
      <c r="M6" s="426">
        <v>28280.64</v>
      </c>
      <c r="N6" s="427">
        <v>1970</v>
      </c>
      <c r="O6" s="430">
        <f t="shared" si="3"/>
        <v>14.355654822335</v>
      </c>
      <c r="P6" s="436">
        <v>30737.36</v>
      </c>
      <c r="Q6" s="426">
        <v>120726.3</v>
      </c>
      <c r="R6" s="427">
        <v>10070</v>
      </c>
      <c r="S6" s="430">
        <f t="shared" si="4"/>
        <v>11.9887090367428</v>
      </c>
      <c r="T6" s="436">
        <v>139007</v>
      </c>
      <c r="U6" s="426">
        <v>40592.58</v>
      </c>
      <c r="V6" s="427">
        <v>2549</v>
      </c>
      <c r="W6" s="430">
        <f t="shared" si="5"/>
        <v>15.924903883876</v>
      </c>
      <c r="X6" s="481">
        <v>30148.79</v>
      </c>
      <c r="Y6" s="431">
        <f t="shared" ref="Y6:Y11" si="12">E6+I6</f>
        <v>2199995.28</v>
      </c>
      <c r="Z6" s="432">
        <f t="shared" si="6"/>
        <v>0.913818215100898</v>
      </c>
      <c r="AA6" s="432">
        <f t="shared" si="7"/>
        <v>0.0861817848991022</v>
      </c>
      <c r="AB6" s="432">
        <f t="shared" si="8"/>
        <v>0.0128548639431626</v>
      </c>
      <c r="AC6" s="432">
        <f t="shared" si="9"/>
        <v>0.0548757086424294</v>
      </c>
      <c r="AD6" s="433">
        <f t="shared" si="10"/>
        <v>0.0184512123135101</v>
      </c>
    </row>
    <row r="7" s="458" customFormat="1" ht="18" spans="1:30">
      <c r="A7" s="480">
        <v>4</v>
      </c>
      <c r="B7" s="423" t="s">
        <v>89</v>
      </c>
      <c r="C7" s="424" t="s">
        <v>92</v>
      </c>
      <c r="D7" s="483" t="s">
        <v>53</v>
      </c>
      <c r="E7" s="426">
        <v>1408835.02</v>
      </c>
      <c r="F7" s="427">
        <v>156488</v>
      </c>
      <c r="G7" s="441">
        <f t="shared" si="0"/>
        <v>9.00283101579674</v>
      </c>
      <c r="H7" s="426">
        <v>7244.68</v>
      </c>
      <c r="I7" s="429">
        <f t="shared" ref="I7:L7" si="13">M7+Q7+U7</f>
        <v>225202.73</v>
      </c>
      <c r="J7" s="429">
        <f t="shared" si="13"/>
        <v>17909</v>
      </c>
      <c r="K7" s="434">
        <f t="shared" si="2"/>
        <v>12.5748355575409</v>
      </c>
      <c r="L7" s="429">
        <f t="shared" si="13"/>
        <v>236370.36</v>
      </c>
      <c r="M7" s="426">
        <v>46263.07</v>
      </c>
      <c r="N7" s="427">
        <v>3466</v>
      </c>
      <c r="O7" s="430">
        <f t="shared" si="3"/>
        <v>13.3476832083093</v>
      </c>
      <c r="P7" s="426">
        <v>49789.53</v>
      </c>
      <c r="Q7" s="426">
        <v>77475.48</v>
      </c>
      <c r="R7" s="427">
        <v>7198</v>
      </c>
      <c r="S7" s="430">
        <f t="shared" si="4"/>
        <v>10.7634731869964</v>
      </c>
      <c r="T7" s="436">
        <v>103254.49</v>
      </c>
      <c r="U7" s="426">
        <v>101464.18</v>
      </c>
      <c r="V7" s="427">
        <v>7245</v>
      </c>
      <c r="W7" s="430">
        <f t="shared" si="5"/>
        <v>14.0047177363699</v>
      </c>
      <c r="X7" s="484">
        <v>83326.34</v>
      </c>
      <c r="Y7" s="431">
        <f t="shared" si="12"/>
        <v>1634037.75</v>
      </c>
      <c r="Z7" s="432">
        <f t="shared" si="6"/>
        <v>0.862180215848746</v>
      </c>
      <c r="AA7" s="432">
        <f t="shared" si="7"/>
        <v>0.137819784151254</v>
      </c>
      <c r="AB7" s="432">
        <f t="shared" si="8"/>
        <v>0.0283121182481861</v>
      </c>
      <c r="AC7" s="432">
        <f t="shared" si="9"/>
        <v>0.0474135190573168</v>
      </c>
      <c r="AD7" s="433">
        <f t="shared" si="10"/>
        <v>0.0620941468457507</v>
      </c>
    </row>
    <row r="8" s="458" customFormat="1" ht="18" spans="1:30">
      <c r="A8" s="480">
        <v>6</v>
      </c>
      <c r="B8" s="424" t="s">
        <v>96</v>
      </c>
      <c r="C8" s="424" t="s">
        <v>90</v>
      </c>
      <c r="D8" s="425" t="s">
        <v>97</v>
      </c>
      <c r="E8" s="426">
        <v>959607.05</v>
      </c>
      <c r="F8" s="427">
        <v>114921</v>
      </c>
      <c r="G8" s="428">
        <f t="shared" si="0"/>
        <v>8.35014531721792</v>
      </c>
      <c r="H8" s="436">
        <v>3406.15</v>
      </c>
      <c r="I8" s="429">
        <f t="shared" ref="I8:L8" si="14">M8+Q8+U8</f>
        <v>77370.15</v>
      </c>
      <c r="J8" s="429">
        <f t="shared" si="14"/>
        <v>6270</v>
      </c>
      <c r="K8" s="430">
        <f t="shared" si="2"/>
        <v>12.3397368421053</v>
      </c>
      <c r="L8" s="429">
        <f t="shared" si="14"/>
        <v>85922.72</v>
      </c>
      <c r="M8" s="426">
        <v>15829.53</v>
      </c>
      <c r="N8" s="427">
        <v>1182</v>
      </c>
      <c r="O8" s="430">
        <f t="shared" si="3"/>
        <v>13.3921573604061</v>
      </c>
      <c r="P8" s="436">
        <v>16790.07</v>
      </c>
      <c r="Q8" s="426">
        <v>32143.37</v>
      </c>
      <c r="R8" s="427">
        <v>3004</v>
      </c>
      <c r="S8" s="430">
        <f t="shared" si="4"/>
        <v>10.700189747004</v>
      </c>
      <c r="T8" s="436">
        <v>43181.38</v>
      </c>
      <c r="U8" s="426">
        <v>29397.25</v>
      </c>
      <c r="V8" s="427">
        <v>2084</v>
      </c>
      <c r="W8" s="430">
        <f t="shared" si="5"/>
        <v>14.1061660268714</v>
      </c>
      <c r="X8" s="481">
        <v>25951.27</v>
      </c>
      <c r="Y8" s="431">
        <f t="shared" si="12"/>
        <v>1036977.2</v>
      </c>
      <c r="Z8" s="432">
        <f t="shared" si="6"/>
        <v>0.925388764574573</v>
      </c>
      <c r="AA8" s="432">
        <f t="shared" si="7"/>
        <v>0.0746112354254269</v>
      </c>
      <c r="AB8" s="432">
        <f t="shared" si="8"/>
        <v>0.0152650704374214</v>
      </c>
      <c r="AC8" s="432">
        <f t="shared" si="9"/>
        <v>0.0309971810373459</v>
      </c>
      <c r="AD8" s="433">
        <f t="shared" si="10"/>
        <v>0.0283489839506597</v>
      </c>
    </row>
    <row r="9" s="458" customFormat="1" ht="18" spans="1:30">
      <c r="A9" s="480">
        <v>7</v>
      </c>
      <c r="B9" s="424" t="s">
        <v>96</v>
      </c>
      <c r="C9" s="424" t="s">
        <v>90</v>
      </c>
      <c r="D9" s="425" t="s">
        <v>98</v>
      </c>
      <c r="E9" s="426">
        <v>5298690.95</v>
      </c>
      <c r="F9" s="427">
        <v>451828</v>
      </c>
      <c r="G9" s="428">
        <f t="shared" si="0"/>
        <v>11.7272301628053</v>
      </c>
      <c r="H9" s="436">
        <v>45071.87</v>
      </c>
      <c r="I9" s="429">
        <f t="shared" ref="I9:L9" si="15">M9+Q9+U9</f>
        <v>284280.47</v>
      </c>
      <c r="J9" s="429">
        <f t="shared" si="15"/>
        <v>21671</v>
      </c>
      <c r="K9" s="430">
        <f t="shared" si="2"/>
        <v>13.1180134742282</v>
      </c>
      <c r="L9" s="429">
        <f t="shared" si="15"/>
        <v>312306.25</v>
      </c>
      <c r="M9" s="426">
        <v>71016.45</v>
      </c>
      <c r="N9" s="427">
        <v>5006</v>
      </c>
      <c r="O9" s="430">
        <f t="shared" si="3"/>
        <v>14.1862664802237</v>
      </c>
      <c r="P9" s="436">
        <v>76967.85</v>
      </c>
      <c r="Q9" s="426">
        <v>143792.59</v>
      </c>
      <c r="R9" s="427">
        <v>11820</v>
      </c>
      <c r="S9" s="430">
        <f t="shared" si="4"/>
        <v>12.1651937394247</v>
      </c>
      <c r="T9" s="436">
        <v>175775.76</v>
      </c>
      <c r="U9" s="426">
        <v>69471.43</v>
      </c>
      <c r="V9" s="427">
        <v>4845</v>
      </c>
      <c r="W9" s="430">
        <f t="shared" si="5"/>
        <v>14.3387884416925</v>
      </c>
      <c r="X9" s="481">
        <v>59562.64</v>
      </c>
      <c r="Y9" s="431">
        <f t="shared" si="12"/>
        <v>5582971.42</v>
      </c>
      <c r="Z9" s="432">
        <f t="shared" si="6"/>
        <v>0.949080794327262</v>
      </c>
      <c r="AA9" s="432">
        <f t="shared" si="7"/>
        <v>0.0509192056727383</v>
      </c>
      <c r="AB9" s="432">
        <f t="shared" si="8"/>
        <v>0.0127201887055334</v>
      </c>
      <c r="AC9" s="432">
        <f t="shared" si="9"/>
        <v>0.0257555661999072</v>
      </c>
      <c r="AD9" s="433">
        <f t="shared" si="10"/>
        <v>0.0124434507672977</v>
      </c>
    </row>
    <row r="10" s="458" customFormat="1" ht="18" spans="1:30">
      <c r="A10" s="480">
        <v>8</v>
      </c>
      <c r="B10" s="424" t="s">
        <v>96</v>
      </c>
      <c r="C10" s="424" t="s">
        <v>92</v>
      </c>
      <c r="D10" s="425" t="s">
        <v>99</v>
      </c>
      <c r="E10" s="426">
        <v>2346380.97</v>
      </c>
      <c r="F10" s="427">
        <v>244713</v>
      </c>
      <c r="G10" s="441">
        <f t="shared" si="0"/>
        <v>9.58829718895196</v>
      </c>
      <c r="H10" s="436">
        <v>14673.73</v>
      </c>
      <c r="I10" s="429">
        <f t="shared" ref="I10:L10" si="16">M10+Q10+U10</f>
        <v>407120.57</v>
      </c>
      <c r="J10" s="429">
        <f t="shared" si="16"/>
        <v>29394</v>
      </c>
      <c r="K10" s="434">
        <f t="shared" si="2"/>
        <v>13.8504650608968</v>
      </c>
      <c r="L10" s="429">
        <f t="shared" si="16"/>
        <v>422011.77</v>
      </c>
      <c r="M10" s="426">
        <v>163281.47</v>
      </c>
      <c r="N10" s="427">
        <v>11085</v>
      </c>
      <c r="O10" s="430">
        <f t="shared" si="3"/>
        <v>14.729947677041</v>
      </c>
      <c r="P10" s="436">
        <v>167755.23</v>
      </c>
      <c r="Q10" s="426">
        <v>145707.3</v>
      </c>
      <c r="R10" s="427">
        <v>11746</v>
      </c>
      <c r="S10" s="430">
        <f t="shared" si="4"/>
        <v>12.4048442022816</v>
      </c>
      <c r="T10" s="436">
        <v>175841.29</v>
      </c>
      <c r="U10" s="426">
        <v>98131.8</v>
      </c>
      <c r="V10" s="427">
        <v>6563</v>
      </c>
      <c r="W10" s="430">
        <f t="shared" si="5"/>
        <v>14.9522779216822</v>
      </c>
      <c r="X10" s="481">
        <v>78415.25</v>
      </c>
      <c r="Y10" s="431">
        <f t="shared" si="12"/>
        <v>2753501.54</v>
      </c>
      <c r="Z10" s="432">
        <f t="shared" si="6"/>
        <v>0.852144418993134</v>
      </c>
      <c r="AA10" s="432">
        <f t="shared" si="7"/>
        <v>0.147855581006866</v>
      </c>
      <c r="AB10" s="432">
        <f t="shared" si="8"/>
        <v>0.0592995746063756</v>
      </c>
      <c r="AC10" s="432">
        <f t="shared" si="9"/>
        <v>0.0529170940648902</v>
      </c>
      <c r="AD10" s="433">
        <f t="shared" si="10"/>
        <v>0.0356389123356001</v>
      </c>
    </row>
    <row r="11" s="458" customFormat="1" ht="18" spans="1:30">
      <c r="A11" s="480">
        <v>9</v>
      </c>
      <c r="B11" s="423" t="s">
        <v>100</v>
      </c>
      <c r="C11" s="424" t="s">
        <v>92</v>
      </c>
      <c r="D11" s="425" t="s">
        <v>101</v>
      </c>
      <c r="E11" s="426">
        <v>965479.06</v>
      </c>
      <c r="F11" s="427">
        <v>94734</v>
      </c>
      <c r="G11" s="428">
        <f t="shared" si="0"/>
        <v>10.1914735997635</v>
      </c>
      <c r="H11" s="426">
        <v>22397.24</v>
      </c>
      <c r="I11" s="429">
        <f t="shared" ref="I11:L11" si="17">M11+Q11+U11</f>
        <v>208952.36</v>
      </c>
      <c r="J11" s="429">
        <f t="shared" si="17"/>
        <v>16604</v>
      </c>
      <c r="K11" s="430">
        <f t="shared" si="2"/>
        <v>12.5844591664659</v>
      </c>
      <c r="L11" s="429">
        <f t="shared" si="17"/>
        <v>214423.78</v>
      </c>
      <c r="M11" s="426">
        <v>38119.01</v>
      </c>
      <c r="N11" s="427">
        <v>2728</v>
      </c>
      <c r="O11" s="430">
        <f t="shared" si="3"/>
        <v>13.9732441348974</v>
      </c>
      <c r="P11" s="436">
        <v>38824.79</v>
      </c>
      <c r="Q11" s="426">
        <v>84910.67</v>
      </c>
      <c r="R11" s="427">
        <v>7891</v>
      </c>
      <c r="S11" s="430">
        <f t="shared" si="4"/>
        <v>10.7604448105437</v>
      </c>
      <c r="T11" s="436">
        <v>108217.01</v>
      </c>
      <c r="U11" s="426">
        <v>85922.68</v>
      </c>
      <c r="V11" s="427">
        <v>5985</v>
      </c>
      <c r="W11" s="430">
        <f t="shared" si="5"/>
        <v>14.3563375104428</v>
      </c>
      <c r="X11" s="484">
        <v>67381.98</v>
      </c>
      <c r="Y11" s="431">
        <f t="shared" si="12"/>
        <v>1174431.42</v>
      </c>
      <c r="Z11" s="432">
        <f t="shared" si="6"/>
        <v>0.822082110166978</v>
      </c>
      <c r="AA11" s="432">
        <f t="shared" si="7"/>
        <v>0.177917889833022</v>
      </c>
      <c r="AB11" s="432">
        <f t="shared" si="8"/>
        <v>0.0324574167131871</v>
      </c>
      <c r="AC11" s="432">
        <f t="shared" si="9"/>
        <v>0.0722993855188241</v>
      </c>
      <c r="AD11" s="433">
        <f t="shared" si="10"/>
        <v>0.0731610876010112</v>
      </c>
    </row>
    <row r="12" s="458" customFormat="1" ht="17.55" spans="1:30">
      <c r="A12" s="485" t="s">
        <v>102</v>
      </c>
      <c r="B12" s="486"/>
      <c r="C12" s="486"/>
      <c r="D12" s="486"/>
      <c r="E12" s="487">
        <f t="shared" ref="E12:J12" si="18">SUM(E4:E11)</f>
        <v>15963007.79</v>
      </c>
      <c r="F12" s="487">
        <f t="shared" si="18"/>
        <v>1569097</v>
      </c>
      <c r="G12" s="488">
        <f t="shared" si="0"/>
        <v>10.1733721943258</v>
      </c>
      <c r="H12" s="487">
        <f t="shared" si="18"/>
        <v>106682.92</v>
      </c>
      <c r="I12" s="487">
        <f t="shared" si="18"/>
        <v>1540054.95</v>
      </c>
      <c r="J12" s="487">
        <f t="shared" si="18"/>
        <v>117352</v>
      </c>
      <c r="K12" s="488">
        <f t="shared" si="2"/>
        <v>13.1233805133274</v>
      </c>
      <c r="L12" s="489">
        <f>P12+T12+X12</f>
        <v>1624419.8</v>
      </c>
      <c r="M12" s="487">
        <f t="shared" ref="M12:R12" si="19">SUM(M4:M11)</f>
        <v>397425.76</v>
      </c>
      <c r="N12" s="487">
        <f t="shared" si="19"/>
        <v>27895</v>
      </c>
      <c r="O12" s="490">
        <f t="shared" si="3"/>
        <v>14.2472041584513</v>
      </c>
      <c r="P12" s="487">
        <f t="shared" si="19"/>
        <v>418627.54</v>
      </c>
      <c r="Q12" s="487">
        <f t="shared" si="19"/>
        <v>665240.55</v>
      </c>
      <c r="R12" s="487">
        <f t="shared" si="19"/>
        <v>56600</v>
      </c>
      <c r="S12" s="490">
        <f t="shared" si="4"/>
        <v>11.7533666077739</v>
      </c>
      <c r="T12" s="487">
        <f t="shared" ref="T12:V12" si="20">SUM(T4:T11)</f>
        <v>817632.53</v>
      </c>
      <c r="U12" s="487">
        <f t="shared" si="20"/>
        <v>477388.64</v>
      </c>
      <c r="V12" s="487">
        <f t="shared" si="20"/>
        <v>32857</v>
      </c>
      <c r="W12" s="490">
        <f t="shared" si="5"/>
        <v>14.529282649055</v>
      </c>
      <c r="X12" s="491">
        <f>SUM(X4:X11)</f>
        <v>388159.73</v>
      </c>
      <c r="Y12" s="454">
        <f>SUM(Y4:Y11)</f>
        <v>17503062.74</v>
      </c>
      <c r="Z12" s="455">
        <f>E12/Y12</f>
        <v>0.912012259061353</v>
      </c>
      <c r="AA12" s="455">
        <f>I12/Y12</f>
        <v>0.0879877409386467</v>
      </c>
      <c r="AB12" s="455">
        <f t="shared" si="8"/>
        <v>0.0227060695550018</v>
      </c>
      <c r="AC12" s="455">
        <f t="shared" si="9"/>
        <v>0.038007093951604</v>
      </c>
      <c r="AD12" s="456">
        <f t="shared" si="10"/>
        <v>0.0272745774320409</v>
      </c>
    </row>
    <row r="13" customFormat="1" spans="1:30">
      <c r="E13" s="492"/>
      <c r="F13" s="492"/>
      <c r="G13" s="492"/>
      <c r="H13" s="492"/>
      <c r="I13" s="492"/>
      <c r="J13" s="492"/>
      <c r="K13" s="492"/>
      <c r="L13" s="492"/>
      <c r="M13" s="492"/>
      <c r="N13" s="492"/>
      <c r="O13" s="492"/>
      <c r="P13" s="492"/>
      <c r="Q13" s="492"/>
      <c r="R13" s="492"/>
      <c r="S13" s="492"/>
      <c r="T13" s="492"/>
      <c r="U13" s="492"/>
      <c r="V13" s="492"/>
      <c r="W13" s="492"/>
      <c r="X13" s="492"/>
    </row>
    <row r="14" customFormat="1" spans="1:30">
      <c r="E14" s="492"/>
      <c r="F14" s="492"/>
      <c r="G14" s="492"/>
      <c r="H14" s="492"/>
      <c r="I14" s="492"/>
      <c r="J14" s="492"/>
      <c r="K14" s="492"/>
      <c r="L14" s="492"/>
      <c r="M14" s="492"/>
      <c r="N14" s="492"/>
      <c r="O14" s="492"/>
      <c r="P14" s="492"/>
      <c r="Q14" s="492"/>
      <c r="R14" s="492"/>
      <c r="S14" s="492"/>
      <c r="T14" s="492"/>
      <c r="U14" s="492"/>
      <c r="V14" s="492"/>
      <c r="W14" s="492"/>
      <c r="X14" s="492"/>
    </row>
  </sheetData>
  <mergeCells count="31">
    <mergeCell ref="A12:D12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3"/>
  <sheetViews>
    <sheetView zoomScale="148" zoomScaleNormal="148" workbookViewId="0">
      <pane xSplit="4" ySplit="3" topLeftCell="U4" activePane="bottomRight" state="frozen"/>
      <selection/>
      <selection pane="topRight"/>
      <selection pane="bottomLeft"/>
      <selection pane="bottomRight" activeCell="N16" sqref="N16"/>
    </sheetView>
  </sheetViews>
  <sheetFormatPr defaultColWidth="9.23076923076923" defaultRowHeight="16.8"/>
  <cols>
    <col min="4" max="4" width="19.8653846153846" customWidth="1"/>
    <col min="5" max="5" width="15.0576923076923" customWidth="1"/>
    <col min="6" max="6" width="12.9711538461538" customWidth="1"/>
    <col min="8" max="8" width="11.6923076923077" customWidth="1"/>
    <col min="9" max="9" width="12.9711538461538" customWidth="1"/>
    <col min="10" max="10" width="12.8076923076923" customWidth="1"/>
    <col min="12" max="12" width="9.23076923076923" hidden="1" customWidth="1"/>
    <col min="13" max="13" width="13.9326923076923" customWidth="1"/>
    <col min="14" max="14" width="13.1346153846154" customWidth="1"/>
    <col min="16" max="16" width="12.9711538461538" hidden="1" customWidth="1"/>
    <col min="17" max="18" width="12.9711538461538" customWidth="1"/>
    <col min="20" max="20" width="14.5769230769231" hidden="1" customWidth="1"/>
    <col min="21" max="22" width="14.5769230769231" customWidth="1"/>
    <col min="24" max="24" width="12.8173076923077" hidden="1" customWidth="1"/>
    <col min="25" max="25" width="13.6153846153846" customWidth="1"/>
    <col min="26" max="26" width="16.3461538461538" customWidth="1"/>
    <col min="27" max="27" width="16.3365384615385" customWidth="1"/>
    <col min="28" max="30" width="14.0961538461538" customWidth="1"/>
  </cols>
  <sheetData>
    <row r="1" customFormat="1" spans="1:30">
      <c r="A1" s="395" t="s">
        <v>60</v>
      </c>
      <c r="B1" s="396" t="s">
        <v>61</v>
      </c>
      <c r="C1" s="397" t="s">
        <v>62</v>
      </c>
      <c r="D1" s="396" t="s">
        <v>26</v>
      </c>
      <c r="E1" s="398" t="s">
        <v>63</v>
      </c>
      <c r="F1" s="398" t="s">
        <v>64</v>
      </c>
      <c r="G1" s="399" t="s">
        <v>65</v>
      </c>
      <c r="H1" s="400" t="s">
        <v>66</v>
      </c>
      <c r="I1" s="401" t="s">
        <v>67</v>
      </c>
      <c r="J1" s="401" t="s">
        <v>68</v>
      </c>
      <c r="K1" s="400" t="s">
        <v>69</v>
      </c>
      <c r="L1" s="400" t="s">
        <v>70</v>
      </c>
      <c r="M1" s="402" t="s">
        <v>71</v>
      </c>
      <c r="N1" s="402" t="s">
        <v>72</v>
      </c>
      <c r="O1" s="403" t="s">
        <v>73</v>
      </c>
      <c r="P1" s="403" t="s">
        <v>74</v>
      </c>
      <c r="Q1" s="402" t="s">
        <v>75</v>
      </c>
      <c r="R1" s="402" t="s">
        <v>76</v>
      </c>
      <c r="S1" s="403" t="s">
        <v>77</v>
      </c>
      <c r="T1" s="403" t="s">
        <v>78</v>
      </c>
      <c r="U1" s="402" t="s">
        <v>79</v>
      </c>
      <c r="V1" s="402" t="s">
        <v>80</v>
      </c>
      <c r="W1" s="403" t="s">
        <v>81</v>
      </c>
      <c r="X1" s="403" t="s">
        <v>82</v>
      </c>
      <c r="Y1" s="404" t="s">
        <v>83</v>
      </c>
      <c r="Z1" s="405" t="s">
        <v>84</v>
      </c>
      <c r="AA1" s="405" t="s">
        <v>85</v>
      </c>
      <c r="AB1" s="405" t="s">
        <v>86</v>
      </c>
      <c r="AC1" s="405" t="s">
        <v>87</v>
      </c>
      <c r="AD1" s="406" t="s">
        <v>88</v>
      </c>
    </row>
    <row r="2" customFormat="1" spans="1:30">
      <c r="A2" s="407"/>
      <c r="B2" s="408"/>
      <c r="C2" s="409"/>
      <c r="D2" s="408"/>
      <c r="E2" s="398"/>
      <c r="F2" s="398"/>
      <c r="G2" s="410"/>
      <c r="H2" s="411"/>
      <c r="I2" s="401"/>
      <c r="J2" s="401"/>
      <c r="K2" s="411"/>
      <c r="L2" s="411"/>
      <c r="M2" s="402"/>
      <c r="N2" s="402"/>
      <c r="O2" s="412"/>
      <c r="P2" s="412"/>
      <c r="Q2" s="402"/>
      <c r="R2" s="402"/>
      <c r="S2" s="412"/>
      <c r="T2" s="412"/>
      <c r="U2" s="402"/>
      <c r="V2" s="402"/>
      <c r="W2" s="412"/>
      <c r="X2" s="412"/>
      <c r="Y2" s="413"/>
      <c r="Z2" s="414"/>
      <c r="AA2" s="414"/>
      <c r="AB2" s="414"/>
      <c r="AC2" s="414"/>
      <c r="AD2" s="415"/>
    </row>
    <row r="3" customFormat="1" spans="1:30">
      <c r="A3" s="416"/>
      <c r="B3" s="417"/>
      <c r="C3" s="418"/>
      <c r="D3" s="417"/>
      <c r="E3" s="398"/>
      <c r="F3" s="398"/>
      <c r="G3" s="419"/>
      <c r="H3" s="420"/>
      <c r="I3" s="401"/>
      <c r="J3" s="401"/>
      <c r="K3" s="420"/>
      <c r="L3" s="420"/>
      <c r="M3" s="402"/>
      <c r="N3" s="402"/>
      <c r="O3" s="421"/>
      <c r="P3" s="421"/>
      <c r="Q3" s="402"/>
      <c r="R3" s="402"/>
      <c r="S3" s="421"/>
      <c r="T3" s="421"/>
      <c r="U3" s="402"/>
      <c r="V3" s="402"/>
      <c r="W3" s="421"/>
      <c r="X3" s="421"/>
      <c r="Y3" s="413"/>
      <c r="Z3" s="414"/>
      <c r="AA3" s="414"/>
      <c r="AB3" s="414"/>
      <c r="AC3" s="414"/>
      <c r="AD3" s="415"/>
    </row>
    <row r="4" customFormat="1" ht="18" spans="1:30">
      <c r="A4" s="422">
        <v>1</v>
      </c>
      <c r="B4" s="423" t="s">
        <v>89</v>
      </c>
      <c r="C4" s="424" t="s">
        <v>90</v>
      </c>
      <c r="D4" s="425" t="s">
        <v>91</v>
      </c>
      <c r="E4" s="426">
        <v>149046.9</v>
      </c>
      <c r="F4" s="427">
        <v>15976</v>
      </c>
      <c r="G4" s="428">
        <f t="shared" ref="G4:G12" si="0">E4/F4</f>
        <v>9.32942538808212</v>
      </c>
      <c r="H4" s="426">
        <v>1322.7</v>
      </c>
      <c r="I4" s="429">
        <v>0</v>
      </c>
      <c r="J4" s="429">
        <v>0</v>
      </c>
      <c r="K4" s="430">
        <v>0</v>
      </c>
      <c r="L4" s="429">
        <v>0</v>
      </c>
      <c r="M4" s="429">
        <v>0</v>
      </c>
      <c r="N4" s="429">
        <v>0</v>
      </c>
      <c r="O4" s="430">
        <v>0</v>
      </c>
      <c r="P4" s="429">
        <v>0</v>
      </c>
      <c r="Q4" s="429">
        <v>0</v>
      </c>
      <c r="R4" s="429">
        <v>0</v>
      </c>
      <c r="S4" s="430">
        <v>0</v>
      </c>
      <c r="T4" s="429">
        <v>0</v>
      </c>
      <c r="U4" s="429">
        <v>0</v>
      </c>
      <c r="V4" s="429">
        <v>0</v>
      </c>
      <c r="W4" s="430">
        <v>0</v>
      </c>
      <c r="X4" s="429">
        <v>0</v>
      </c>
      <c r="Y4" s="431">
        <f>E4</f>
        <v>149046.9</v>
      </c>
      <c r="Z4" s="432">
        <f t="shared" ref="Z4:Z12" si="1">E4/Y4</f>
        <v>1</v>
      </c>
      <c r="AA4" s="432">
        <f t="shared" ref="AA4:AA12" si="2">I4/Y4</f>
        <v>0</v>
      </c>
      <c r="AB4" s="432">
        <f t="shared" ref="AB4:AB12" si="3">M4/Y4</f>
        <v>0</v>
      </c>
      <c r="AC4" s="432">
        <f t="shared" ref="AC4:AC12" si="4">Q4/Y4</f>
        <v>0</v>
      </c>
      <c r="AD4" s="433">
        <f t="shared" ref="AD4:AD12" si="5">U4/Y4</f>
        <v>0</v>
      </c>
    </row>
    <row r="5" customFormat="1" ht="18" spans="1:30">
      <c r="A5" s="422">
        <v>2</v>
      </c>
      <c r="B5" s="423" t="s">
        <v>89</v>
      </c>
      <c r="C5" s="424" t="s">
        <v>92</v>
      </c>
      <c r="D5" s="425" t="s">
        <v>93</v>
      </c>
      <c r="E5" s="426">
        <v>128437.52</v>
      </c>
      <c r="F5" s="427">
        <v>12342</v>
      </c>
      <c r="G5" s="428">
        <f t="shared" si="0"/>
        <v>10.4065402690002</v>
      </c>
      <c r="H5" s="429">
        <v>101.58</v>
      </c>
      <c r="I5" s="429">
        <f t="shared" ref="I5:L5" si="6">M5+Q5+U5</f>
        <v>48986.24</v>
      </c>
      <c r="J5" s="429">
        <f t="shared" si="6"/>
        <v>3560</v>
      </c>
      <c r="K5" s="434">
        <f t="shared" ref="K5:K12" si="7">I5/J5</f>
        <v>13.7601797752809</v>
      </c>
      <c r="L5" s="429">
        <f t="shared" si="6"/>
        <v>46584.06</v>
      </c>
      <c r="M5" s="426">
        <v>8216.79</v>
      </c>
      <c r="N5" s="435">
        <v>582</v>
      </c>
      <c r="O5" s="430">
        <f t="shared" ref="O5:O12" si="8">M5/N5</f>
        <v>14.1181958762887</v>
      </c>
      <c r="P5" s="436">
        <v>8499.61</v>
      </c>
      <c r="Q5" s="426">
        <v>11535.19</v>
      </c>
      <c r="R5" s="427">
        <v>1001</v>
      </c>
      <c r="S5" s="430">
        <f t="shared" ref="S5:S12" si="9">Q5/R5</f>
        <v>11.5236663336663</v>
      </c>
      <c r="T5" s="436">
        <v>13224.85</v>
      </c>
      <c r="U5" s="426">
        <v>29234.26</v>
      </c>
      <c r="V5" s="427">
        <v>1977</v>
      </c>
      <c r="W5" s="430">
        <f t="shared" ref="W5:W12" si="10">U5/V5</f>
        <v>14.7871825998988</v>
      </c>
      <c r="X5" s="436">
        <v>24859.6</v>
      </c>
      <c r="Y5" s="431">
        <f t="shared" ref="Y5:Y11" si="11">E5+I5</f>
        <v>177423.76</v>
      </c>
      <c r="Z5" s="432">
        <f t="shared" si="1"/>
        <v>0.723902593429426</v>
      </c>
      <c r="AA5" s="432">
        <f t="shared" si="2"/>
        <v>0.276097406570574</v>
      </c>
      <c r="AB5" s="432">
        <f t="shared" si="3"/>
        <v>0.046311666487059</v>
      </c>
      <c r="AC5" s="432">
        <f t="shared" si="4"/>
        <v>0.065014911193405</v>
      </c>
      <c r="AD5" s="433">
        <f t="shared" si="5"/>
        <v>0.16477082889011</v>
      </c>
    </row>
    <row r="6" customFormat="1" ht="18" spans="1:30">
      <c r="A6" s="422">
        <v>3</v>
      </c>
      <c r="B6" s="423" t="s">
        <v>89</v>
      </c>
      <c r="C6" s="437" t="s">
        <v>94</v>
      </c>
      <c r="D6" s="438" t="s">
        <v>95</v>
      </c>
      <c r="E6" s="426">
        <v>169114.78</v>
      </c>
      <c r="F6" s="427">
        <v>17274</v>
      </c>
      <c r="G6" s="428">
        <f t="shared" si="0"/>
        <v>9.79013430589325</v>
      </c>
      <c r="H6" s="429">
        <v>26.82</v>
      </c>
      <c r="I6" s="429">
        <f t="shared" ref="I6:L6" si="12">M6+Q6+U6</f>
        <v>79266.87</v>
      </c>
      <c r="J6" s="429">
        <f t="shared" si="12"/>
        <v>6244</v>
      </c>
      <c r="K6" s="430">
        <f t="shared" si="7"/>
        <v>12.6948862908392</v>
      </c>
      <c r="L6" s="429">
        <f t="shared" si="12"/>
        <v>77097.3</v>
      </c>
      <c r="M6" s="426">
        <v>10763.98</v>
      </c>
      <c r="N6" s="435">
        <v>716</v>
      </c>
      <c r="O6" s="430">
        <f t="shared" si="8"/>
        <v>15.0334916201117</v>
      </c>
      <c r="P6" s="436">
        <v>11069.12</v>
      </c>
      <c r="Q6" s="426">
        <v>32753.51</v>
      </c>
      <c r="R6" s="427">
        <v>3280</v>
      </c>
      <c r="S6" s="430">
        <f t="shared" si="9"/>
        <v>9.98582621951219</v>
      </c>
      <c r="T6" s="436">
        <v>39530.99</v>
      </c>
      <c r="U6" s="426">
        <v>35749.38</v>
      </c>
      <c r="V6" s="427">
        <v>2248</v>
      </c>
      <c r="W6" s="430">
        <f t="shared" si="10"/>
        <v>15.9027491103203</v>
      </c>
      <c r="X6" s="436">
        <v>26497.19</v>
      </c>
      <c r="Y6" s="431">
        <f t="shared" si="11"/>
        <v>248381.65</v>
      </c>
      <c r="Z6" s="432">
        <f t="shared" si="1"/>
        <v>0.680866642121107</v>
      </c>
      <c r="AA6" s="439">
        <f t="shared" si="2"/>
        <v>0.319133357878893</v>
      </c>
      <c r="AB6" s="432">
        <f t="shared" si="3"/>
        <v>0.0433364542026353</v>
      </c>
      <c r="AC6" s="432">
        <f t="shared" si="4"/>
        <v>0.131867672189149</v>
      </c>
      <c r="AD6" s="433">
        <f t="shared" si="5"/>
        <v>0.143929231487109</v>
      </c>
    </row>
    <row r="7" customFormat="1" ht="21" customHeight="1" spans="1:30">
      <c r="A7" s="422">
        <v>4</v>
      </c>
      <c r="B7" s="423" t="s">
        <v>89</v>
      </c>
      <c r="C7" s="424" t="s">
        <v>92</v>
      </c>
      <c r="D7" s="440" t="s">
        <v>103</v>
      </c>
      <c r="E7" s="426">
        <v>128157.03</v>
      </c>
      <c r="F7" s="427">
        <v>15121</v>
      </c>
      <c r="G7" s="441">
        <f t="shared" si="0"/>
        <v>8.47543350307519</v>
      </c>
      <c r="H7" s="429">
        <v>33.57</v>
      </c>
      <c r="I7" s="429">
        <f t="shared" ref="I7:L7" si="13">M7+Q7+U7</f>
        <v>52886.05</v>
      </c>
      <c r="J7" s="429">
        <f t="shared" si="13"/>
        <v>4445</v>
      </c>
      <c r="K7" s="434">
        <f t="shared" si="7"/>
        <v>11.897874015748</v>
      </c>
      <c r="L7" s="429">
        <f t="shared" si="13"/>
        <v>52149.65</v>
      </c>
      <c r="M7" s="426">
        <v>6664.46</v>
      </c>
      <c r="N7" s="435">
        <v>615</v>
      </c>
      <c r="O7" s="430">
        <f t="shared" si="8"/>
        <v>10.8365203252033</v>
      </c>
      <c r="P7" s="436">
        <v>6537.94</v>
      </c>
      <c r="Q7" s="426">
        <v>15197.02</v>
      </c>
      <c r="R7" s="427">
        <v>1660</v>
      </c>
      <c r="S7" s="430">
        <f t="shared" si="9"/>
        <v>9.1548313253012</v>
      </c>
      <c r="T7" s="436">
        <v>18232.75</v>
      </c>
      <c r="U7" s="426">
        <v>31024.57</v>
      </c>
      <c r="V7" s="427">
        <v>2170</v>
      </c>
      <c r="W7" s="430">
        <f t="shared" si="10"/>
        <v>14.2970368663594</v>
      </c>
      <c r="X7" s="436">
        <v>27378.96</v>
      </c>
      <c r="Y7" s="431">
        <f t="shared" si="11"/>
        <v>181043.08</v>
      </c>
      <c r="Z7" s="432">
        <f t="shared" si="1"/>
        <v>0.707881405906263</v>
      </c>
      <c r="AA7" s="439">
        <f t="shared" si="2"/>
        <v>0.292118594093737</v>
      </c>
      <c r="AB7" s="432">
        <f t="shared" si="3"/>
        <v>0.0368114594603671</v>
      </c>
      <c r="AC7" s="432">
        <f t="shared" si="4"/>
        <v>0.0839414574696807</v>
      </c>
      <c r="AD7" s="433">
        <f t="shared" si="5"/>
        <v>0.171365677163689</v>
      </c>
    </row>
    <row r="8" customFormat="1" ht="18" spans="1:30">
      <c r="A8" s="422">
        <v>6</v>
      </c>
      <c r="B8" s="424" t="s">
        <v>96</v>
      </c>
      <c r="C8" s="424" t="s">
        <v>90</v>
      </c>
      <c r="D8" s="425" t="s">
        <v>97</v>
      </c>
      <c r="E8" s="426">
        <v>85152.35</v>
      </c>
      <c r="F8" s="427">
        <v>10302</v>
      </c>
      <c r="G8" s="428">
        <f t="shared" si="0"/>
        <v>8.26561347311202</v>
      </c>
      <c r="H8" s="442">
        <v>227.05</v>
      </c>
      <c r="I8" s="429">
        <f t="shared" ref="I8:L8" si="14">M8+Q8+U8</f>
        <v>35295.45</v>
      </c>
      <c r="J8" s="429">
        <f t="shared" si="14"/>
        <v>2838</v>
      </c>
      <c r="K8" s="430">
        <f t="shared" si="7"/>
        <v>12.436733615222</v>
      </c>
      <c r="L8" s="429">
        <f t="shared" si="14"/>
        <v>36431.43</v>
      </c>
      <c r="M8" s="426">
        <v>4036.25</v>
      </c>
      <c r="N8" s="435">
        <v>302</v>
      </c>
      <c r="O8" s="430">
        <f t="shared" si="8"/>
        <v>13.3650662251656</v>
      </c>
      <c r="P8" s="426">
        <v>4366.85</v>
      </c>
      <c r="Q8" s="426">
        <v>9500.51</v>
      </c>
      <c r="R8" s="435">
        <v>970</v>
      </c>
      <c r="S8" s="430">
        <f t="shared" si="9"/>
        <v>9.79434020618557</v>
      </c>
      <c r="T8" s="426">
        <v>12299.34</v>
      </c>
      <c r="U8" s="426">
        <v>21758.69</v>
      </c>
      <c r="V8" s="427">
        <v>1566</v>
      </c>
      <c r="W8" s="430">
        <f t="shared" si="10"/>
        <v>13.8944380587484</v>
      </c>
      <c r="X8" s="436">
        <v>19765.24</v>
      </c>
      <c r="Y8" s="431">
        <f t="shared" si="11"/>
        <v>120447.8</v>
      </c>
      <c r="Z8" s="432">
        <f t="shared" si="1"/>
        <v>0.706964759837872</v>
      </c>
      <c r="AA8" s="439">
        <f t="shared" si="2"/>
        <v>0.293035240162128</v>
      </c>
      <c r="AB8" s="432">
        <f t="shared" si="3"/>
        <v>0.0335103671465979</v>
      </c>
      <c r="AC8" s="432">
        <f t="shared" si="4"/>
        <v>0.0788765755787984</v>
      </c>
      <c r="AD8" s="433">
        <f t="shared" si="5"/>
        <v>0.180648297436732</v>
      </c>
    </row>
    <row r="9" customFormat="1" ht="18" spans="1:30">
      <c r="A9" s="422">
        <v>7</v>
      </c>
      <c r="B9" s="424" t="s">
        <v>96</v>
      </c>
      <c r="C9" s="424" t="s">
        <v>90</v>
      </c>
      <c r="D9" s="425" t="s">
        <v>98</v>
      </c>
      <c r="E9" s="426">
        <v>414033.85</v>
      </c>
      <c r="F9" s="427">
        <v>35580</v>
      </c>
      <c r="G9" s="428">
        <f t="shared" si="0"/>
        <v>11.6367017987633</v>
      </c>
      <c r="H9" s="436">
        <v>3012.4</v>
      </c>
      <c r="I9" s="429">
        <f t="shared" ref="I9:L9" si="15">M9+Q9+U9</f>
        <v>83649.17</v>
      </c>
      <c r="J9" s="429">
        <f t="shared" si="15"/>
        <v>6383</v>
      </c>
      <c r="K9" s="434">
        <f t="shared" si="7"/>
        <v>13.1049929500235</v>
      </c>
      <c r="L9" s="429">
        <f t="shared" si="15"/>
        <v>81587.01</v>
      </c>
      <c r="M9" s="426">
        <v>15273.75</v>
      </c>
      <c r="N9" s="427">
        <v>1012</v>
      </c>
      <c r="O9" s="430">
        <f t="shared" si="8"/>
        <v>15.0926383399209</v>
      </c>
      <c r="P9" s="436">
        <v>14783.35</v>
      </c>
      <c r="Q9" s="426">
        <v>26907.42</v>
      </c>
      <c r="R9" s="427">
        <v>2450</v>
      </c>
      <c r="S9" s="430">
        <f t="shared" si="9"/>
        <v>10.9826204081633</v>
      </c>
      <c r="T9" s="436">
        <v>29811.85</v>
      </c>
      <c r="U9" s="426">
        <v>41468</v>
      </c>
      <c r="V9" s="427">
        <v>2921</v>
      </c>
      <c r="W9" s="430">
        <f t="shared" si="10"/>
        <v>14.19650804519</v>
      </c>
      <c r="X9" s="436">
        <v>36991.81</v>
      </c>
      <c r="Y9" s="431">
        <f t="shared" si="11"/>
        <v>497683.02</v>
      </c>
      <c r="Z9" s="432">
        <f t="shared" si="1"/>
        <v>0.83192279696422</v>
      </c>
      <c r="AA9" s="443">
        <f>I9/Y9</f>
        <v>0.16807720303578</v>
      </c>
      <c r="AB9" s="432">
        <f>M9/Y9</f>
        <v>0.0306897149113104</v>
      </c>
      <c r="AC9" s="432">
        <f t="shared" si="4"/>
        <v>0.0540653767934458</v>
      </c>
      <c r="AD9" s="433">
        <f t="shared" si="5"/>
        <v>0.0833221113310235</v>
      </c>
    </row>
    <row r="10" customFormat="1" ht="18" spans="1:30">
      <c r="A10" s="422">
        <v>8</v>
      </c>
      <c r="B10" s="424" t="s">
        <v>96</v>
      </c>
      <c r="C10" s="424" t="s">
        <v>92</v>
      </c>
      <c r="D10" s="425" t="s">
        <v>99</v>
      </c>
      <c r="E10" s="444">
        <v>175506.46</v>
      </c>
      <c r="F10" s="445">
        <v>18587</v>
      </c>
      <c r="G10" s="428">
        <f t="shared" si="0"/>
        <v>9.44243073115618</v>
      </c>
      <c r="H10" s="446">
        <v>725.94</v>
      </c>
      <c r="I10" s="429">
        <f t="shared" ref="I10:L10" si="16">M10+Q10+U10</f>
        <v>69453.01</v>
      </c>
      <c r="J10" s="429">
        <f t="shared" si="16"/>
        <v>5450</v>
      </c>
      <c r="K10" s="430">
        <f t="shared" si="7"/>
        <v>12.743671559633</v>
      </c>
      <c r="L10" s="429">
        <f t="shared" si="16"/>
        <v>69659.4</v>
      </c>
      <c r="M10" s="426">
        <v>14978.76</v>
      </c>
      <c r="N10" s="427">
        <v>1085</v>
      </c>
      <c r="O10" s="430">
        <f t="shared" si="8"/>
        <v>13.8053087557604</v>
      </c>
      <c r="P10" s="436">
        <v>16319.94</v>
      </c>
      <c r="Q10" s="444">
        <v>21379.76</v>
      </c>
      <c r="R10" s="445">
        <v>2075</v>
      </c>
      <c r="S10" s="430">
        <f t="shared" si="9"/>
        <v>10.3034987951807</v>
      </c>
      <c r="T10" s="426">
        <v>24154.57</v>
      </c>
      <c r="U10" s="426">
        <v>33094.49</v>
      </c>
      <c r="V10" s="427">
        <v>2290</v>
      </c>
      <c r="W10" s="430">
        <f t="shared" si="10"/>
        <v>14.4517423580786</v>
      </c>
      <c r="X10" s="436">
        <v>29184.89</v>
      </c>
      <c r="Y10" s="431">
        <f t="shared" si="11"/>
        <v>244959.47</v>
      </c>
      <c r="Z10" s="432">
        <f t="shared" si="1"/>
        <v>0.716471422803127</v>
      </c>
      <c r="AA10" s="432">
        <f t="shared" si="2"/>
        <v>0.283528577196873</v>
      </c>
      <c r="AB10" s="432">
        <f t="shared" si="3"/>
        <v>0.0611479115300176</v>
      </c>
      <c r="AC10" s="432">
        <f t="shared" si="4"/>
        <v>0.087278764932011</v>
      </c>
      <c r="AD10" s="433">
        <f t="shared" si="5"/>
        <v>0.135101900734844</v>
      </c>
    </row>
    <row r="11" customFormat="1" ht="18" spans="1:30">
      <c r="A11" s="422">
        <v>9</v>
      </c>
      <c r="B11" s="423" t="s">
        <v>100</v>
      </c>
      <c r="C11" s="424" t="s">
        <v>92</v>
      </c>
      <c r="D11" s="425" t="s">
        <v>101</v>
      </c>
      <c r="E11" s="426">
        <v>90632.77</v>
      </c>
      <c r="F11" s="427">
        <v>8869</v>
      </c>
      <c r="G11" s="428">
        <f t="shared" si="0"/>
        <v>10.219051753298</v>
      </c>
      <c r="H11" s="442">
        <v>127.33</v>
      </c>
      <c r="I11" s="429">
        <f t="shared" ref="I11:L11" si="17">M11+Q11+U11</f>
        <v>48186.15</v>
      </c>
      <c r="J11" s="429">
        <f t="shared" si="17"/>
        <v>4253</v>
      </c>
      <c r="K11" s="430">
        <f t="shared" si="7"/>
        <v>11.3299200564308</v>
      </c>
      <c r="L11" s="429">
        <f t="shared" si="17"/>
        <v>49401.58</v>
      </c>
      <c r="M11" s="426">
        <v>4696.59</v>
      </c>
      <c r="N11" s="435">
        <v>343</v>
      </c>
      <c r="O11" s="430">
        <f t="shared" si="8"/>
        <v>13.6926822157434</v>
      </c>
      <c r="P11" s="426">
        <v>5153.71</v>
      </c>
      <c r="Q11" s="426">
        <v>20084.11</v>
      </c>
      <c r="R11" s="427">
        <v>2260</v>
      </c>
      <c r="S11" s="430">
        <f t="shared" si="9"/>
        <v>8.88677433628319</v>
      </c>
      <c r="T11" s="436">
        <v>23415.72</v>
      </c>
      <c r="U11" s="426">
        <v>23405.45</v>
      </c>
      <c r="V11" s="427">
        <v>1650</v>
      </c>
      <c r="W11" s="430">
        <f t="shared" si="10"/>
        <v>14.1851212121212</v>
      </c>
      <c r="X11" s="436">
        <v>20832.15</v>
      </c>
      <c r="Y11" s="431">
        <f t="shared" si="11"/>
        <v>138818.92</v>
      </c>
      <c r="Z11" s="432">
        <f t="shared" si="1"/>
        <v>0.65288485171906</v>
      </c>
      <c r="AA11" s="439">
        <f t="shared" si="2"/>
        <v>0.34711514828094</v>
      </c>
      <c r="AB11" s="432">
        <f t="shared" si="3"/>
        <v>0.0338324919974885</v>
      </c>
      <c r="AC11" s="432">
        <f t="shared" si="4"/>
        <v>0.144678477544704</v>
      </c>
      <c r="AD11" s="433">
        <f t="shared" si="5"/>
        <v>0.168604178738748</v>
      </c>
    </row>
    <row r="12" customFormat="1" ht="17.55" spans="1:30">
      <c r="A12" s="447" t="s">
        <v>102</v>
      </c>
      <c r="B12" s="448"/>
      <c r="C12" s="448"/>
      <c r="D12" s="449"/>
      <c r="E12" s="450">
        <f t="shared" ref="E12:J12" si="18">SUM(E4:E11)</f>
        <v>1340081.66</v>
      </c>
      <c r="F12" s="450">
        <f t="shared" si="18"/>
        <v>134051</v>
      </c>
      <c r="G12" s="451">
        <f t="shared" si="0"/>
        <v>9.99680464897688</v>
      </c>
      <c r="H12" s="450">
        <f t="shared" si="18"/>
        <v>5577.39</v>
      </c>
      <c r="I12" s="450">
        <f t="shared" si="18"/>
        <v>417722.94</v>
      </c>
      <c r="J12" s="450">
        <f t="shared" si="18"/>
        <v>33173</v>
      </c>
      <c r="K12" s="451">
        <f t="shared" si="7"/>
        <v>12.5922569559582</v>
      </c>
      <c r="L12" s="452">
        <f>P12+T12+X12</f>
        <v>412910.43</v>
      </c>
      <c r="M12" s="450">
        <f t="shared" ref="M12:R12" si="19">SUM(M4:M11)</f>
        <v>64630.58</v>
      </c>
      <c r="N12" s="450">
        <f t="shared" si="19"/>
        <v>4655</v>
      </c>
      <c r="O12" s="451">
        <f t="shared" si="8"/>
        <v>13.8841203007519</v>
      </c>
      <c r="P12" s="450">
        <f t="shared" si="19"/>
        <v>66730.52</v>
      </c>
      <c r="Q12" s="450">
        <f t="shared" si="19"/>
        <v>137357.52</v>
      </c>
      <c r="R12" s="450">
        <f t="shared" si="19"/>
        <v>13696</v>
      </c>
      <c r="S12" s="451">
        <f t="shared" si="9"/>
        <v>10.0290245327103</v>
      </c>
      <c r="T12" s="450">
        <f t="shared" ref="T12:V12" si="20">SUM(T4:T11)</f>
        <v>160670.07</v>
      </c>
      <c r="U12" s="450">
        <f t="shared" si="20"/>
        <v>215734.84</v>
      </c>
      <c r="V12" s="450">
        <f t="shared" si="20"/>
        <v>14822</v>
      </c>
      <c r="W12" s="451">
        <f t="shared" si="10"/>
        <v>14.5550425043854</v>
      </c>
      <c r="X12" s="453">
        <f>SUM(X4:X11)</f>
        <v>185509.84</v>
      </c>
      <c r="Y12" s="454">
        <f>SUM(Y4:Y11)</f>
        <v>1757804.6</v>
      </c>
      <c r="Z12" s="455">
        <f>E12/Y12</f>
        <v>0.762360992797493</v>
      </c>
      <c r="AA12" s="455">
        <f t="shared" si="2"/>
        <v>0.237639007202507</v>
      </c>
      <c r="AB12" s="455">
        <f t="shared" si="3"/>
        <v>0.0367677840870368</v>
      </c>
      <c r="AC12" s="455">
        <f t="shared" si="4"/>
        <v>0.0781415181186805</v>
      </c>
      <c r="AD12" s="456">
        <f t="shared" si="5"/>
        <v>0.12272970499679</v>
      </c>
    </row>
    <row r="13" spans="1:30">
      <c r="Y13" s="457"/>
    </row>
  </sheetData>
  <mergeCells count="31">
    <mergeCell ref="A12:D12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15"/>
  <sheetViews>
    <sheetView showGridLines="0" zoomScale="89" zoomScaleNormal="89" workbookViewId="0">
      <pane xSplit="3" ySplit="3" topLeftCell="V4" activePane="bottomRight" state="frozen"/>
      <selection/>
      <selection pane="topRight"/>
      <selection pane="bottomLeft"/>
      <selection pane="bottomRight" activeCell="C105" sqref="$A105:$XFD105"/>
    </sheetView>
  </sheetViews>
  <sheetFormatPr defaultColWidth="9.69230769230769" defaultRowHeight="15" customHeight="1"/>
  <cols>
    <col min="1" max="1" width="7.26923076923077" style="29" customWidth="1"/>
    <col min="2" max="2" width="14.6730769230769" style="155" customWidth="1"/>
    <col min="3" max="3" width="17.1442307692308" style="156" customWidth="1"/>
    <col min="4" max="4" width="9.96153846153846" style="156" customWidth="1"/>
    <col min="5" max="5" width="12.6538461538462" style="156" customWidth="1"/>
    <col min="6" max="6" width="9.96153846153846" style="156" customWidth="1"/>
    <col min="7" max="7" width="11.5288461538462" style="156" customWidth="1"/>
    <col min="8" max="8" width="9.96153846153846" style="156" customWidth="1"/>
    <col min="9" max="9" width="12.5" style="156" customWidth="1"/>
    <col min="10" max="10" width="9.96153846153846" style="156" customWidth="1"/>
    <col min="11" max="11" width="12.8173076923077" style="156" customWidth="1"/>
    <col min="12" max="12" width="9.96153846153846" style="156" customWidth="1"/>
    <col min="13" max="13" width="11.2211538461538" style="156" customWidth="1"/>
    <col min="14" max="14" width="9.96153846153846" style="156" customWidth="1"/>
    <col min="15" max="15" width="15.0576923076923" style="156" customWidth="1"/>
    <col min="16" max="16" width="9.96153846153846" style="156" customWidth="1"/>
    <col min="17" max="17" width="11.2115384615385" style="156" customWidth="1"/>
    <col min="18" max="18" width="9.96153846153846" style="156" customWidth="1"/>
    <col min="19" max="19" width="12.5" style="156" customWidth="1"/>
    <col min="20" max="20" width="9.96153846153846" style="156" customWidth="1"/>
    <col min="21" max="21" width="10.4134615384615" style="156" customWidth="1"/>
    <col min="22" max="22" width="9.96153846153846" style="156" customWidth="1"/>
    <col min="23" max="23" width="13.7788461538462" style="156" customWidth="1"/>
    <col min="24" max="24" width="9.96153846153846" style="156" customWidth="1"/>
    <col min="25" max="25" width="14.5865384615385" style="156" customWidth="1"/>
    <col min="26" max="26" width="9.96153846153846" style="156" customWidth="1"/>
    <col min="27" max="27" width="10.0961538461538" style="156" customWidth="1"/>
    <col min="28" max="28" width="9.96153846153846" style="156" customWidth="1"/>
    <col min="29" max="29" width="14.6826923076923" style="156" customWidth="1"/>
    <col min="30" max="30" width="17.4423076923077" style="287" hidden="1" customWidth="1"/>
    <col min="31" max="31" width="17.4423076923077" style="28" hidden="1" customWidth="1"/>
    <col min="32" max="32" width="18.7692307692308" style="157"/>
    <col min="33" max="33" width="16.5576923076923" style="157" customWidth="1"/>
    <col min="34" max="37" width="18.7692307692308" style="157"/>
    <col min="38" max="38" width="9.82692307692308" style="28"/>
    <col min="39" max="39" width="11.1730769230769" style="28"/>
    <col min="40" max="40" width="9.82692307692308" style="28"/>
    <col min="41" max="41" width="9.69230769230769" style="28"/>
    <col min="42" max="42" width="9.82692307692308" style="28"/>
    <col min="43" max="43" width="9.69230769230769" style="28"/>
    <col min="44" max="44" width="9.82692307692308" style="28"/>
    <col min="45" max="45" width="9.69230769230769" style="28"/>
    <col min="46" max="46" width="9.82692307692308" style="28"/>
    <col min="47" max="47" width="9.69230769230769" style="28"/>
    <col min="48" max="48" width="9.82692307692308" style="28"/>
    <col min="49" max="49" width="9.69230769230769" style="28"/>
    <col min="50" max="50" width="9.82692307692308" style="28"/>
    <col min="51" max="51" width="9.69230769230769" style="28"/>
    <col min="52" max="52" width="9.82692307692308" style="28"/>
    <col min="53" max="53" width="9.69230769230769" style="28"/>
    <col min="54" max="54" width="9.82692307692308" style="28"/>
    <col min="55" max="55" width="9.69230769230769" style="28"/>
    <col min="56" max="56" width="9.82692307692308" style="28"/>
    <col min="57" max="57" width="9.69230769230769" style="28"/>
    <col min="58" max="58" width="9.82692307692308" style="28"/>
    <col min="59" max="59" width="9.69230769230769" style="28"/>
    <col min="60" max="60" width="9.82692307692308" style="28"/>
    <col min="61" max="61" width="9.69230769230769" style="28"/>
    <col min="62" max="62" width="9.82692307692308" style="28"/>
    <col min="63" max="63" width="9.69230769230769" style="28"/>
    <col min="64" max="64" width="9.82692307692308" style="28"/>
    <col min="65" max="65" width="9.69230769230769" style="28"/>
    <col min="66" max="66" width="9.82692307692308" style="28"/>
    <col min="67" max="67" width="9.69230769230769" style="28"/>
    <col min="68" max="68" width="9.82692307692308" style="28"/>
    <col min="69" max="69" width="9.69230769230769" style="28"/>
    <col min="70" max="70" width="9.82692307692308" style="28"/>
    <col min="71" max="71" width="9.69230769230769" style="28"/>
    <col min="72" max="72" width="9.82692307692308" style="28"/>
    <col min="73" max="73" width="9.69230769230769" style="28"/>
    <col min="74" max="74" width="9.82692307692308" style="28"/>
    <col min="75" max="75" width="9.69230769230769" style="28"/>
    <col min="76" max="76" width="9.82692307692308" style="28"/>
    <col min="77" max="77" width="9.69230769230769" style="28"/>
    <col min="78" max="78" width="9.82692307692308" style="28"/>
    <col min="79" max="79" width="9.69230769230769" style="28"/>
    <col min="80" max="80" width="9.82692307692308" style="28"/>
    <col min="81" max="81" width="9.69230769230769" style="28"/>
    <col min="82" max="82" width="9.82692307692308" style="28"/>
    <col min="83" max="83" width="9.69230769230769" style="28"/>
    <col min="84" max="84" width="9.82692307692308" style="28"/>
    <col min="85" max="85" width="9.69230769230769" style="28"/>
    <col min="86" max="86" width="9.82692307692308" style="28"/>
    <col min="87" max="87" width="9.69230769230769" style="28"/>
    <col min="88" max="88" width="9.82692307692308" style="28"/>
    <col min="89" max="89" width="9.69230769230769" style="28"/>
    <col min="90" max="90" width="9.82692307692308" style="28"/>
    <col min="91" max="91" width="9.69230769230769" style="28"/>
    <col min="92" max="92" width="9.82692307692308" style="28"/>
    <col min="93" max="93" width="9.69230769230769" style="28"/>
    <col min="94" max="94" width="9.82692307692308" style="28"/>
    <col min="95" max="95" width="9.69230769230769" style="28"/>
    <col min="96" max="96" width="9.82692307692308" style="28"/>
    <col min="97" max="97" width="9.69230769230769" style="28"/>
    <col min="98" max="98" width="9.82692307692308" style="28"/>
    <col min="99" max="99" width="9.69230769230769" style="28"/>
    <col min="100" max="100" width="9.82692307692308" style="28"/>
    <col min="101" max="101" width="9.69230769230769" style="28"/>
    <col min="102" max="102" width="9.82692307692308" style="28"/>
    <col min="103" max="103" width="9.69230769230769" style="28"/>
    <col min="104" max="104" width="9.82692307692308" style="28"/>
    <col min="105" max="105" width="9.69230769230769" style="28"/>
    <col min="106" max="106" width="9.82692307692308" style="28"/>
    <col min="107" max="107" width="9.69230769230769" style="28"/>
    <col min="108" max="108" width="9.82692307692308" style="28"/>
    <col min="109" max="109" width="9.69230769230769" style="28"/>
    <col min="110" max="110" width="9.82692307692308" style="28"/>
    <col min="111" max="111" width="9.69230769230769" style="28"/>
    <col min="112" max="112" width="9.82692307692308" style="28"/>
    <col min="113" max="113" width="9.69230769230769" style="28"/>
    <col min="114" max="114" width="9.82692307692308" style="28"/>
    <col min="115" max="115" width="9.69230769230769" style="28"/>
    <col min="116" max="116" width="9.82692307692308" style="28"/>
    <col min="117" max="117" width="9.69230769230769" style="28"/>
    <col min="118" max="118" width="9.82692307692308" style="28"/>
    <col min="119" max="119" width="9.69230769230769" style="28"/>
    <col min="120" max="120" width="9.82692307692308" style="28"/>
    <col min="121" max="121" width="9.69230769230769" style="28"/>
    <col min="122" max="122" width="9.82692307692308" style="28"/>
    <col min="123" max="123" width="9.69230769230769" style="28"/>
    <col min="124" max="124" width="9.82692307692308" style="28"/>
    <col min="125" max="125" width="9.69230769230769" style="28"/>
    <col min="126" max="126" width="9.82692307692308" style="28"/>
    <col min="127" max="127" width="9.69230769230769" style="28"/>
    <col min="128" max="128" width="9.82692307692308" style="28"/>
    <col min="129" max="129" width="9.69230769230769" style="28"/>
    <col min="130" max="130" width="9.82692307692308" style="28"/>
    <col min="131" max="131" width="9.69230769230769" style="28"/>
    <col min="132" max="132" width="9.82692307692308" style="28"/>
    <col min="133" max="133" width="9.69230769230769" style="28"/>
    <col min="134" max="134" width="9.82692307692308" style="28"/>
    <col min="135" max="135" width="9.69230769230769" style="28"/>
    <col min="136" max="136" width="9.82692307692308" style="28"/>
    <col min="137" max="137" width="9.69230769230769" style="28"/>
    <col min="138" max="138" width="9.82692307692308" style="28"/>
    <col min="139" max="139" width="9.69230769230769" style="28"/>
    <col min="140" max="140" width="9.82692307692308" style="28"/>
    <col min="141" max="141" width="9.69230769230769" style="28"/>
    <col min="142" max="142" width="9.82692307692308" style="28"/>
    <col min="143" max="143" width="9.69230769230769" style="28"/>
    <col min="144" max="144" width="9.82692307692308" style="28"/>
    <col min="145" max="145" width="9.69230769230769" style="28"/>
    <col min="146" max="146" width="9.82692307692308" style="28"/>
    <col min="147" max="147" width="9.69230769230769" style="28"/>
    <col min="148" max="148" width="9.82692307692308" style="28"/>
    <col min="149" max="149" width="9.69230769230769" style="28"/>
    <col min="150" max="150" width="9.82692307692308" style="28"/>
    <col min="151" max="151" width="9.69230769230769" style="28"/>
    <col min="152" max="152" width="9.82692307692308" style="28"/>
    <col min="153" max="153" width="9.69230769230769" style="28"/>
    <col min="154" max="154" width="9.82692307692308" style="28"/>
    <col min="155" max="155" width="9.69230769230769" style="28"/>
    <col min="156" max="156" width="9.82692307692308" style="28"/>
    <col min="157" max="157" width="9.69230769230769" style="28"/>
    <col min="158" max="158" width="9.82692307692308" style="28"/>
    <col min="159" max="159" width="9.69230769230769" style="28"/>
    <col min="160" max="160" width="9.82692307692308" style="28"/>
    <col min="161" max="161" width="9.69230769230769" style="28"/>
    <col min="162" max="162" width="9.82692307692308" style="28"/>
    <col min="163" max="163" width="9.69230769230769" style="28"/>
    <col min="164" max="164" width="9.82692307692308" style="28"/>
    <col min="165" max="165" width="9.69230769230769" style="28"/>
    <col min="166" max="166" width="9.82692307692308" style="28"/>
    <col min="167" max="167" width="9.69230769230769" style="28"/>
    <col min="168" max="168" width="9.82692307692308" style="28"/>
    <col min="169" max="169" width="9.69230769230769" style="28"/>
    <col min="170" max="170" width="9.82692307692308" style="28"/>
    <col min="171" max="171" width="9.69230769230769" style="28"/>
    <col min="172" max="172" width="9.82692307692308" style="28"/>
    <col min="173" max="173" width="9.69230769230769" style="28"/>
    <col min="174" max="174" width="9.82692307692308" style="28"/>
    <col min="175" max="175" width="9.69230769230769" style="28"/>
    <col min="176" max="176" width="9.82692307692308" style="28"/>
    <col min="177" max="177" width="9.69230769230769" style="28"/>
    <col min="178" max="178" width="9.82692307692308" style="28"/>
    <col min="179" max="179" width="9.69230769230769" style="28"/>
    <col min="180" max="180" width="9.82692307692308" style="28"/>
    <col min="181" max="181" width="9.69230769230769" style="28"/>
    <col min="182" max="182" width="9.82692307692308" style="28"/>
    <col min="183" max="183" width="9.69230769230769" style="28"/>
    <col min="184" max="184" width="9.82692307692308" style="28"/>
    <col min="185" max="185" width="9.69230769230769" style="28"/>
    <col min="186" max="186" width="9.82692307692308" style="28"/>
    <col min="187" max="187" width="9.69230769230769" style="28"/>
    <col min="188" max="188" width="9.82692307692308" style="28"/>
    <col min="189" max="189" width="9.69230769230769" style="28"/>
    <col min="190" max="190" width="9.82692307692308" style="28"/>
    <col min="191" max="191" width="9.69230769230769" style="28"/>
    <col min="192" max="192" width="9.82692307692308" style="28"/>
    <col min="193" max="193" width="9.69230769230769" style="28"/>
    <col min="194" max="194" width="9.82692307692308" style="28"/>
    <col min="195" max="195" width="9.69230769230769" style="28"/>
    <col min="196" max="196" width="9.82692307692308" style="28"/>
    <col min="197" max="197" width="9.69230769230769" style="28"/>
    <col min="198" max="198" width="9.82692307692308" style="28"/>
    <col min="199" max="199" width="9.69230769230769" style="28"/>
    <col min="200" max="200" width="9.82692307692308" style="28"/>
    <col min="201" max="201" width="9.69230769230769" style="28"/>
    <col min="202" max="202" width="9.82692307692308" style="28"/>
    <col min="203" max="203" width="9.69230769230769" style="28"/>
    <col min="204" max="204" width="9.82692307692308" style="28"/>
    <col min="205" max="205" width="9.69230769230769" style="28"/>
    <col min="206" max="206" width="9.82692307692308" style="28"/>
    <col min="207" max="207" width="9.69230769230769" style="28"/>
    <col min="208" max="208" width="9.82692307692308" style="28"/>
    <col min="209" max="209" width="9.69230769230769" style="28"/>
    <col min="210" max="210" width="9.82692307692308" style="28"/>
    <col min="211" max="211" width="9.69230769230769" style="28"/>
    <col min="212" max="212" width="9.82692307692308" style="28"/>
    <col min="213" max="213" width="9.69230769230769" style="28"/>
    <col min="214" max="214" width="9.82692307692308" style="28"/>
    <col min="215" max="215" width="9.69230769230769" style="28"/>
    <col min="216" max="216" width="9.82692307692308" style="28"/>
    <col min="217" max="217" width="9.69230769230769" style="28"/>
    <col min="218" max="218" width="9.82692307692308" style="28"/>
    <col min="219" max="219" width="9.69230769230769" style="28"/>
    <col min="220" max="220" width="9.82692307692308" style="28"/>
    <col min="221" max="221" width="9.69230769230769" style="28"/>
    <col min="222" max="222" width="9.82692307692308" style="28"/>
    <col min="223" max="16384" width="9.69230769230769" style="28"/>
  </cols>
  <sheetData>
    <row r="1" s="28" customFormat="1" ht="37.5" customHeight="1" spans="1:37">
      <c r="A1" s="33" t="s">
        <v>104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287"/>
      <c r="AE1" s="28"/>
      <c r="AF1" s="157"/>
      <c r="AG1" s="157"/>
      <c r="AH1" s="157"/>
      <c r="AI1" s="157"/>
      <c r="AJ1" s="157"/>
      <c r="AK1" s="157"/>
    </row>
    <row r="2" s="153" customFormat="1" ht="19.5" customHeight="1" spans="1:37">
      <c r="A2" s="288" t="s">
        <v>105</v>
      </c>
      <c r="B2" s="289" t="s">
        <v>106</v>
      </c>
      <c r="C2" s="290" t="s">
        <v>107</v>
      </c>
      <c r="D2" s="291" t="s">
        <v>2</v>
      </c>
      <c r="E2" s="292"/>
      <c r="F2" s="291" t="s">
        <v>3</v>
      </c>
      <c r="G2" s="292"/>
      <c r="H2" s="291" t="s">
        <v>4</v>
      </c>
      <c r="I2" s="292"/>
      <c r="J2" s="291" t="s">
        <v>5</v>
      </c>
      <c r="K2" s="292"/>
      <c r="L2" s="291" t="s">
        <v>6</v>
      </c>
      <c r="M2" s="292"/>
      <c r="N2" s="291" t="s">
        <v>7</v>
      </c>
      <c r="O2" s="292"/>
      <c r="P2" s="291" t="s">
        <v>8</v>
      </c>
      <c r="Q2" s="292"/>
      <c r="R2" s="291" t="s">
        <v>9</v>
      </c>
      <c r="S2" s="292"/>
      <c r="T2" s="291" t="s">
        <v>10</v>
      </c>
      <c r="U2" s="292"/>
      <c r="V2" s="291" t="s">
        <v>11</v>
      </c>
      <c r="W2" s="292"/>
      <c r="X2" s="291" t="s">
        <v>12</v>
      </c>
      <c r="Y2" s="292"/>
      <c r="Z2" s="291" t="s">
        <v>13</v>
      </c>
      <c r="AA2" s="292"/>
      <c r="AB2" s="291" t="s">
        <v>14</v>
      </c>
      <c r="AC2" s="292"/>
      <c r="AD2" s="293" t="s">
        <v>108</v>
      </c>
      <c r="AE2" s="294" t="s">
        <v>108</v>
      </c>
      <c r="AF2" s="161" t="s">
        <v>109</v>
      </c>
      <c r="AG2" s="162" t="s">
        <v>110</v>
      </c>
      <c r="AH2" s="163"/>
      <c r="AI2" s="163"/>
      <c r="AJ2" s="163"/>
      <c r="AK2" s="163"/>
    </row>
    <row r="3" s="153" customFormat="1" ht="24" customHeight="1" spans="1:37">
      <c r="A3" s="295"/>
      <c r="B3" s="296"/>
      <c r="C3" s="164"/>
      <c r="D3" s="165" t="s">
        <v>111</v>
      </c>
      <c r="E3" s="165" t="s">
        <v>112</v>
      </c>
      <c r="F3" s="165" t="s">
        <v>111</v>
      </c>
      <c r="G3" s="165" t="s">
        <v>112</v>
      </c>
      <c r="H3" s="165" t="s">
        <v>111</v>
      </c>
      <c r="I3" s="165" t="s">
        <v>112</v>
      </c>
      <c r="J3" s="165" t="s">
        <v>111</v>
      </c>
      <c r="K3" s="165" t="s">
        <v>112</v>
      </c>
      <c r="L3" s="165" t="s">
        <v>111</v>
      </c>
      <c r="M3" s="165" t="s">
        <v>112</v>
      </c>
      <c r="N3" s="165" t="s">
        <v>111</v>
      </c>
      <c r="O3" s="165" t="s">
        <v>112</v>
      </c>
      <c r="P3" s="165" t="s">
        <v>111</v>
      </c>
      <c r="Q3" s="165" t="s">
        <v>112</v>
      </c>
      <c r="R3" s="165" t="s">
        <v>111</v>
      </c>
      <c r="S3" s="165" t="s">
        <v>112</v>
      </c>
      <c r="T3" s="165" t="s">
        <v>111</v>
      </c>
      <c r="U3" s="165" t="s">
        <v>112</v>
      </c>
      <c r="V3" s="165" t="s">
        <v>111</v>
      </c>
      <c r="W3" s="165" t="s">
        <v>112</v>
      </c>
      <c r="X3" s="165" t="s">
        <v>111</v>
      </c>
      <c r="Y3" s="165" t="s">
        <v>112</v>
      </c>
      <c r="Z3" s="165" t="s">
        <v>111</v>
      </c>
      <c r="AA3" s="165" t="s">
        <v>112</v>
      </c>
      <c r="AB3" s="165" t="s">
        <v>111</v>
      </c>
      <c r="AC3" s="165" t="s">
        <v>112</v>
      </c>
      <c r="AD3" s="297" t="s">
        <v>113</v>
      </c>
      <c r="AE3" s="298" t="s">
        <v>114</v>
      </c>
      <c r="AF3" s="166"/>
      <c r="AG3" s="167"/>
      <c r="AH3" s="163" t="s">
        <v>115</v>
      </c>
      <c r="AI3" s="163" t="s">
        <v>116</v>
      </c>
      <c r="AJ3" s="163" t="s">
        <v>117</v>
      </c>
      <c r="AK3" s="163" t="s">
        <v>118</v>
      </c>
    </row>
    <row r="4" s="28" customFormat="1" customHeight="1" spans="1:37">
      <c r="A4" s="299" t="s">
        <v>119</v>
      </c>
      <c r="B4" s="300" t="s">
        <v>32</v>
      </c>
      <c r="C4" s="301" t="s">
        <v>120</v>
      </c>
      <c r="D4" s="302">
        <v>7315</v>
      </c>
      <c r="E4" s="9">
        <v>23573.74</v>
      </c>
      <c r="F4" s="302">
        <v>7045</v>
      </c>
      <c r="G4" s="9">
        <v>21686.35</v>
      </c>
      <c r="H4" s="302">
        <v>8003</v>
      </c>
      <c r="I4" s="9">
        <v>24957.5</v>
      </c>
      <c r="J4" s="302">
        <v>7120</v>
      </c>
      <c r="K4" s="9">
        <v>21652.5</v>
      </c>
      <c r="L4" s="302">
        <v>7668</v>
      </c>
      <c r="M4" s="9">
        <v>23757.35</v>
      </c>
      <c r="N4" s="302">
        <v>7059</v>
      </c>
      <c r="O4" s="9">
        <v>22296.93</v>
      </c>
      <c r="P4" s="302">
        <v>8178</v>
      </c>
      <c r="Q4" s="9">
        <v>26554.86</v>
      </c>
      <c r="R4" s="302">
        <v>6605</v>
      </c>
      <c r="S4" s="9">
        <v>20490.61</v>
      </c>
      <c r="T4" s="171">
        <v>6407</v>
      </c>
      <c r="U4" s="191">
        <v>19144.39</v>
      </c>
      <c r="V4" s="171">
        <v>6372</v>
      </c>
      <c r="W4" s="191">
        <v>19266.75</v>
      </c>
      <c r="X4" s="171">
        <v>5942</v>
      </c>
      <c r="Y4" s="191">
        <v>17030.71</v>
      </c>
      <c r="Z4" s="171">
        <v>7150</v>
      </c>
      <c r="AA4" s="191">
        <v>20254.86</v>
      </c>
      <c r="AB4" s="172">
        <f>D4+F4+H4+J4+L4+N4+P4+R4+T4+V4+X4+Z4</f>
        <v>84864</v>
      </c>
      <c r="AC4" s="303">
        <f>E4+G4+I4+K4+M4+O4+Q4+S4+U4+W4+Y4+AA4</f>
        <v>260666.55</v>
      </c>
      <c r="AD4" s="304">
        <f>Z4/31-X4/30</f>
        <v>32.5784946236559</v>
      </c>
      <c r="AE4" s="305">
        <f>AA4/31-Y4/30</f>
        <v>85.6922473118279</v>
      </c>
      <c r="AF4" s="306">
        <f>AB4/SUM($AB$4:$AB$14)</f>
        <v>0.323946726521077</v>
      </c>
      <c r="AG4" s="211">
        <f>AC4/SUM($AC$4:$AC$14)</f>
        <v>0.183027875120409</v>
      </c>
      <c r="AH4" s="163"/>
      <c r="AI4" s="157">
        <f>AG4</f>
        <v>0.183027875120409</v>
      </c>
      <c r="AJ4" s="157">
        <f>AG7</f>
        <v>0.0720249884558978</v>
      </c>
      <c r="AK4" s="157">
        <f>AG10+AG13</f>
        <v>0.0602447731639036</v>
      </c>
    </row>
    <row r="5" s="28" customFormat="1" customHeight="1" spans="1:37">
      <c r="A5" s="182"/>
      <c r="B5" s="190"/>
      <c r="C5" s="301" t="s">
        <v>121</v>
      </c>
      <c r="D5" s="302">
        <v>6720</v>
      </c>
      <c r="E5" s="9">
        <v>46620.21</v>
      </c>
      <c r="F5" s="302">
        <v>6970</v>
      </c>
      <c r="G5" s="9">
        <v>48608.21</v>
      </c>
      <c r="H5" s="302">
        <v>7308</v>
      </c>
      <c r="I5" s="9">
        <v>50636</v>
      </c>
      <c r="J5" s="302">
        <v>6963</v>
      </c>
      <c r="K5" s="9">
        <v>49050</v>
      </c>
      <c r="L5" s="302">
        <v>7029</v>
      </c>
      <c r="M5" s="9">
        <v>50234.87</v>
      </c>
      <c r="N5" s="302">
        <v>5915</v>
      </c>
      <c r="O5" s="9">
        <v>42225.75</v>
      </c>
      <c r="P5" s="302">
        <v>6810</v>
      </c>
      <c r="Q5" s="9">
        <v>48605.85</v>
      </c>
      <c r="R5" s="302">
        <v>5525</v>
      </c>
      <c r="S5" s="9">
        <v>40200.88</v>
      </c>
      <c r="T5" s="171">
        <v>5327</v>
      </c>
      <c r="U5" s="191">
        <v>37516.56</v>
      </c>
      <c r="V5" s="171">
        <v>5079</v>
      </c>
      <c r="W5" s="191">
        <v>35409.59</v>
      </c>
      <c r="X5" s="171">
        <v>2640</v>
      </c>
      <c r="Y5" s="191">
        <v>16944.37</v>
      </c>
      <c r="Z5" s="171">
        <v>4150</v>
      </c>
      <c r="AA5" s="191">
        <v>30292.14</v>
      </c>
      <c r="AB5" s="172">
        <f t="shared" ref="AB4:AB67" si="0">D5+F5+H5+J5+L5+N5+P5+R5+T5+V5+X5+Z5</f>
        <v>70436</v>
      </c>
      <c r="AC5" s="303">
        <f t="shared" ref="AC4:AC67" si="1">E5+G5+I5+K5+M5+O5+Q5+S5+U5+W5+Y5+AA5</f>
        <v>496344.43</v>
      </c>
      <c r="AD5" s="304">
        <f t="shared" ref="AD5:AD36" si="2">Z5/31-X5/30</f>
        <v>45.8709677419355</v>
      </c>
      <c r="AE5" s="307">
        <f t="shared" ref="AE5:AE36" si="3">AA5/31-Y5/30</f>
        <v>412.35347311828</v>
      </c>
      <c r="AF5" s="306">
        <f>AB5/SUM($AB$4:$AB$14)</f>
        <v>0.268871507697476</v>
      </c>
      <c r="AG5" s="211">
        <f t="shared" ref="AG5:AG14" si="4">AC5/SUM($AC$4:$AC$14)</f>
        <v>0.348509873440802</v>
      </c>
      <c r="AH5" s="163">
        <f>AG5+AG6+AG11</f>
        <v>0.439817978275433</v>
      </c>
      <c r="AI5" s="157"/>
      <c r="AJ5" s="157"/>
      <c r="AK5" s="157"/>
    </row>
    <row r="6" s="28" customFormat="1" customHeight="1" spans="1:37">
      <c r="A6" s="182"/>
      <c r="B6" s="190"/>
      <c r="C6" s="170" t="s">
        <v>122</v>
      </c>
      <c r="D6" s="302"/>
      <c r="E6" s="9"/>
      <c r="F6" s="302"/>
      <c r="G6" s="9"/>
      <c r="H6" s="302"/>
      <c r="I6" s="9"/>
      <c r="J6" s="302"/>
      <c r="K6" s="9"/>
      <c r="L6" s="302"/>
      <c r="M6" s="9"/>
      <c r="N6" s="302"/>
      <c r="O6" s="9"/>
      <c r="P6" s="302"/>
      <c r="Q6" s="9"/>
      <c r="R6" s="302"/>
      <c r="S6" s="9"/>
      <c r="T6" s="171"/>
      <c r="U6" s="191"/>
      <c r="V6" s="171"/>
      <c r="W6" s="191"/>
      <c r="X6" s="171">
        <f>230+2433</f>
        <v>2663</v>
      </c>
      <c r="Y6" s="191">
        <f>1610+18719.47</f>
        <v>20329.47</v>
      </c>
      <c r="Z6" s="171">
        <v>2579</v>
      </c>
      <c r="AA6" s="191">
        <v>17513.49</v>
      </c>
      <c r="AB6" s="172">
        <f t="shared" si="0"/>
        <v>5242</v>
      </c>
      <c r="AC6" s="303">
        <f t="shared" si="1"/>
        <v>37842.96</v>
      </c>
      <c r="AD6" s="304">
        <f t="shared" si="2"/>
        <v>-5.5731182795699</v>
      </c>
      <c r="AE6" s="305">
        <f t="shared" si="3"/>
        <v>-112.697709677419</v>
      </c>
      <c r="AF6" s="308">
        <f>AB6/SUM($AB$4:$AB$14)</f>
        <v>0.0200100011833461</v>
      </c>
      <c r="AG6" s="193">
        <f t="shared" si="4"/>
        <v>0.0265715587867589</v>
      </c>
      <c r="AH6" s="157"/>
      <c r="AI6" s="157"/>
      <c r="AJ6" s="157"/>
      <c r="AK6" s="157"/>
    </row>
    <row r="7" s="28" customFormat="1" customHeight="1" spans="1:37">
      <c r="A7" s="182"/>
      <c r="B7" s="190"/>
      <c r="C7" s="170" t="s">
        <v>123</v>
      </c>
      <c r="D7" s="302">
        <v>3114</v>
      </c>
      <c r="E7" s="9">
        <v>8967.77</v>
      </c>
      <c r="F7" s="302">
        <v>2749</v>
      </c>
      <c r="G7" s="9">
        <v>7933.61</v>
      </c>
      <c r="H7" s="302">
        <v>3138</v>
      </c>
      <c r="I7" s="9">
        <v>8944.5</v>
      </c>
      <c r="J7" s="302">
        <v>3029</v>
      </c>
      <c r="K7" s="9">
        <v>8693</v>
      </c>
      <c r="L7" s="302">
        <v>3391</v>
      </c>
      <c r="M7" s="9">
        <v>9897.7</v>
      </c>
      <c r="N7" s="302">
        <v>2707</v>
      </c>
      <c r="O7" s="9">
        <v>7847.27</v>
      </c>
      <c r="P7" s="302">
        <v>4128</v>
      </c>
      <c r="Q7" s="9">
        <v>12173.43</v>
      </c>
      <c r="R7" s="302">
        <v>3247</v>
      </c>
      <c r="S7" s="9">
        <v>9546.85</v>
      </c>
      <c r="T7" s="171">
        <v>2369</v>
      </c>
      <c r="U7" s="191">
        <v>6921.58</v>
      </c>
      <c r="V7" s="171">
        <v>2224</v>
      </c>
      <c r="W7" s="191">
        <v>6411.44</v>
      </c>
      <c r="X7" s="171">
        <v>2372</v>
      </c>
      <c r="Y7" s="191">
        <v>6886.6</v>
      </c>
      <c r="Z7" s="171">
        <v>2906</v>
      </c>
      <c r="AA7" s="191">
        <v>8353.55</v>
      </c>
      <c r="AB7" s="172">
        <f t="shared" si="0"/>
        <v>35374</v>
      </c>
      <c r="AC7" s="303">
        <f t="shared" si="1"/>
        <v>102577.3</v>
      </c>
      <c r="AD7" s="304">
        <f>Z7/31-X7/30</f>
        <v>14.6752688172043</v>
      </c>
      <c r="AE7" s="305">
        <f t="shared" si="3"/>
        <v>39.9160215053763</v>
      </c>
      <c r="AF7" s="309">
        <f>AB7/SUM($AB$4:$AB$14)</f>
        <v>0.135031244154843</v>
      </c>
      <c r="AG7" s="194">
        <f t="shared" si="4"/>
        <v>0.0720249884558978</v>
      </c>
      <c r="AH7" s="157"/>
      <c r="AI7" s="157"/>
      <c r="AJ7" s="157"/>
      <c r="AK7" s="157"/>
    </row>
    <row r="8" s="28" customFormat="1" customHeight="1" spans="1:37">
      <c r="A8" s="182"/>
      <c r="B8" s="190"/>
      <c r="C8" s="301" t="s">
        <v>124</v>
      </c>
      <c r="D8" s="302">
        <v>1826</v>
      </c>
      <c r="E8" s="9">
        <v>14605.91</v>
      </c>
      <c r="F8" s="302">
        <v>1917</v>
      </c>
      <c r="G8" s="9">
        <v>15336</v>
      </c>
      <c r="H8" s="302">
        <v>2111</v>
      </c>
      <c r="I8" s="9">
        <v>16888</v>
      </c>
      <c r="J8" s="302">
        <v>2808</v>
      </c>
      <c r="K8" s="9">
        <v>23531.9</v>
      </c>
      <c r="L8" s="302">
        <v>3272</v>
      </c>
      <c r="M8" s="9">
        <v>27403.11</v>
      </c>
      <c r="N8" s="302">
        <v>2521</v>
      </c>
      <c r="O8" s="9">
        <v>20996.18</v>
      </c>
      <c r="P8" s="302">
        <v>3377</v>
      </c>
      <c r="Q8" s="9">
        <v>28611.01</v>
      </c>
      <c r="R8" s="302">
        <v>2858</v>
      </c>
      <c r="S8" s="9">
        <v>23696.46</v>
      </c>
      <c r="T8" s="171">
        <v>2457</v>
      </c>
      <c r="U8" s="191">
        <v>19924.27</v>
      </c>
      <c r="V8" s="171">
        <v>2544</v>
      </c>
      <c r="W8" s="191">
        <v>20758.72</v>
      </c>
      <c r="X8" s="171">
        <v>3081</v>
      </c>
      <c r="Y8" s="191">
        <v>26127.94</v>
      </c>
      <c r="Z8" s="171">
        <v>4563</v>
      </c>
      <c r="AA8" s="191">
        <v>38273.14</v>
      </c>
      <c r="AB8" s="172">
        <f t="shared" si="0"/>
        <v>33335</v>
      </c>
      <c r="AC8" s="303">
        <f t="shared" si="1"/>
        <v>276152.64</v>
      </c>
      <c r="AD8" s="304">
        <f t="shared" si="2"/>
        <v>44.4935483870968</v>
      </c>
      <c r="AE8" s="307">
        <f t="shared" si="3"/>
        <v>363.686086021505</v>
      </c>
      <c r="AF8" s="310">
        <f t="shared" ref="AF5:AF14" si="5">AB8/SUM($AB$4:$AB$14)</f>
        <v>0.127247880474407</v>
      </c>
      <c r="AG8" s="220">
        <f t="shared" si="4"/>
        <v>0.19390148413017</v>
      </c>
      <c r="AH8" s="157"/>
      <c r="AI8" s="157"/>
      <c r="AJ8" s="157"/>
      <c r="AK8" s="157"/>
    </row>
    <row r="9" s="28" customFormat="1" customHeight="1" spans="1:37">
      <c r="A9" s="182"/>
      <c r="B9" s="190"/>
      <c r="C9" s="170" t="s">
        <v>125</v>
      </c>
      <c r="D9" s="302">
        <v>1216</v>
      </c>
      <c r="E9" s="9">
        <v>3207</v>
      </c>
      <c r="F9" s="302">
        <v>1025</v>
      </c>
      <c r="G9" s="9">
        <v>2707</v>
      </c>
      <c r="H9" s="302">
        <v>1186</v>
      </c>
      <c r="I9" s="9">
        <v>3128</v>
      </c>
      <c r="J9" s="302">
        <v>1165</v>
      </c>
      <c r="K9" s="9">
        <v>3052</v>
      </c>
      <c r="L9" s="302">
        <v>1179</v>
      </c>
      <c r="M9" s="9">
        <v>3071.3</v>
      </c>
      <c r="N9" s="302">
        <v>1063</v>
      </c>
      <c r="O9" s="9">
        <v>2747.2</v>
      </c>
      <c r="P9" s="302">
        <v>1103</v>
      </c>
      <c r="Q9" s="9">
        <v>2798.5</v>
      </c>
      <c r="R9" s="302">
        <v>1081</v>
      </c>
      <c r="S9" s="9">
        <v>2737.56</v>
      </c>
      <c r="T9" s="171">
        <v>1188</v>
      </c>
      <c r="U9" s="191">
        <v>2970</v>
      </c>
      <c r="V9" s="171">
        <v>1092</v>
      </c>
      <c r="W9" s="191">
        <v>2711.68</v>
      </c>
      <c r="X9" s="171">
        <v>993</v>
      </c>
      <c r="Y9" s="191">
        <v>2519</v>
      </c>
      <c r="Z9" s="171">
        <v>874</v>
      </c>
      <c r="AA9" s="191">
        <v>2144.33</v>
      </c>
      <c r="AB9" s="172">
        <f t="shared" si="0"/>
        <v>13165</v>
      </c>
      <c r="AC9" s="303">
        <f t="shared" si="1"/>
        <v>33793.57</v>
      </c>
      <c r="AD9" s="304">
        <f t="shared" si="2"/>
        <v>-4.90645161290323</v>
      </c>
      <c r="AE9" s="305">
        <f t="shared" si="3"/>
        <v>-14.7947311827957</v>
      </c>
      <c r="AF9" s="309">
        <f>AB9/SUM($AB$4:$AB$14)</f>
        <v>0.0502540376914826</v>
      </c>
      <c r="AG9" s="194">
        <f t="shared" si="4"/>
        <v>0.0237282662843882</v>
      </c>
      <c r="AH9" s="157"/>
      <c r="AI9" s="157"/>
      <c r="AJ9" s="157"/>
      <c r="AK9" s="157"/>
    </row>
    <row r="10" s="28" customFormat="1" customHeight="1" spans="1:37">
      <c r="A10" s="182"/>
      <c r="B10" s="190"/>
      <c r="C10" s="170" t="s">
        <v>126</v>
      </c>
      <c r="D10" s="302">
        <v>761</v>
      </c>
      <c r="E10" s="9">
        <v>8013</v>
      </c>
      <c r="F10" s="302">
        <v>673</v>
      </c>
      <c r="G10" s="9">
        <v>7130</v>
      </c>
      <c r="H10" s="302">
        <v>795</v>
      </c>
      <c r="I10" s="9">
        <v>8112</v>
      </c>
      <c r="J10" s="302">
        <v>687</v>
      </c>
      <c r="K10" s="9">
        <v>7111.79</v>
      </c>
      <c r="L10" s="302">
        <v>636</v>
      </c>
      <c r="M10" s="9">
        <v>6458.9</v>
      </c>
      <c r="N10" s="302">
        <v>521</v>
      </c>
      <c r="O10" s="9">
        <v>5239.84</v>
      </c>
      <c r="P10" s="302">
        <v>586</v>
      </c>
      <c r="Q10" s="9">
        <v>6141.71</v>
      </c>
      <c r="R10" s="302">
        <v>467</v>
      </c>
      <c r="S10" s="9">
        <v>4903.93</v>
      </c>
      <c r="T10" s="171">
        <v>513</v>
      </c>
      <c r="U10" s="191">
        <v>5115.72</v>
      </c>
      <c r="V10" s="171">
        <v>646</v>
      </c>
      <c r="W10" s="191">
        <v>6528.9</v>
      </c>
      <c r="X10" s="171">
        <v>689</v>
      </c>
      <c r="Y10" s="191">
        <v>6967.71</v>
      </c>
      <c r="Z10" s="171">
        <v>1104</v>
      </c>
      <c r="AA10" s="191">
        <v>11902.7</v>
      </c>
      <c r="AB10" s="172">
        <f t="shared" si="0"/>
        <v>8078</v>
      </c>
      <c r="AC10" s="303">
        <f t="shared" si="1"/>
        <v>83626.2</v>
      </c>
      <c r="AD10" s="304">
        <f t="shared" si="2"/>
        <v>12.6462365591398</v>
      </c>
      <c r="AE10" s="305">
        <f t="shared" si="3"/>
        <v>151.701064516129</v>
      </c>
      <c r="AF10" s="309">
        <f t="shared" si="5"/>
        <v>0.0308357095686894</v>
      </c>
      <c r="AG10" s="194">
        <f t="shared" si="4"/>
        <v>0.0587184112821316</v>
      </c>
      <c r="AH10" s="157"/>
      <c r="AI10" s="157"/>
      <c r="AJ10" s="157"/>
      <c r="AK10" s="157"/>
    </row>
    <row r="11" s="28" customFormat="1" customHeight="1" spans="1:37">
      <c r="A11" s="182"/>
      <c r="B11" s="190"/>
      <c r="C11" s="170" t="s">
        <v>127</v>
      </c>
      <c r="D11" s="302">
        <v>750</v>
      </c>
      <c r="E11" s="9">
        <v>10525.44</v>
      </c>
      <c r="F11" s="302">
        <v>724</v>
      </c>
      <c r="G11" s="9">
        <v>10140.43</v>
      </c>
      <c r="H11" s="302">
        <v>701</v>
      </c>
      <c r="I11" s="9">
        <v>9877</v>
      </c>
      <c r="J11" s="302">
        <v>471</v>
      </c>
      <c r="K11" s="9">
        <v>6547.17</v>
      </c>
      <c r="L11" s="302">
        <v>515</v>
      </c>
      <c r="M11" s="9">
        <v>7249.58</v>
      </c>
      <c r="N11" s="302">
        <v>490</v>
      </c>
      <c r="O11" s="9">
        <v>6937.36</v>
      </c>
      <c r="P11" s="302">
        <v>418</v>
      </c>
      <c r="Q11" s="9">
        <v>5930</v>
      </c>
      <c r="R11" s="302">
        <v>320</v>
      </c>
      <c r="S11" s="9">
        <v>4527.45</v>
      </c>
      <c r="T11" s="171">
        <v>477</v>
      </c>
      <c r="U11" s="191">
        <v>6623.44</v>
      </c>
      <c r="V11" s="171">
        <v>523</v>
      </c>
      <c r="W11" s="191">
        <v>7303.03</v>
      </c>
      <c r="X11" s="171">
        <v>542</v>
      </c>
      <c r="Y11" s="191">
        <v>7498.38</v>
      </c>
      <c r="Z11" s="171">
        <v>648</v>
      </c>
      <c r="AA11" s="191">
        <v>9037.89</v>
      </c>
      <c r="AB11" s="172">
        <f t="shared" si="0"/>
        <v>6579</v>
      </c>
      <c r="AC11" s="303">
        <f t="shared" si="1"/>
        <v>92197.17</v>
      </c>
      <c r="AD11" s="304">
        <f t="shared" si="2"/>
        <v>2.83655913978495</v>
      </c>
      <c r="AE11" s="305">
        <f t="shared" si="3"/>
        <v>41.5988387096774</v>
      </c>
      <c r="AF11" s="310">
        <f t="shared" si="5"/>
        <v>0.0251136584863094</v>
      </c>
      <c r="AG11" s="220">
        <f t="shared" si="4"/>
        <v>0.0647365460478726</v>
      </c>
      <c r="AH11" s="157"/>
      <c r="AI11" s="157"/>
      <c r="AJ11" s="157"/>
      <c r="AK11" s="157"/>
    </row>
    <row r="12" s="28" customFormat="1" customHeight="1" spans="1:37">
      <c r="A12" s="182"/>
      <c r="B12" s="190"/>
      <c r="C12" s="170" t="s">
        <v>128</v>
      </c>
      <c r="D12" s="302">
        <v>226</v>
      </c>
      <c r="E12" s="9">
        <v>1064</v>
      </c>
      <c r="F12" s="302">
        <v>172</v>
      </c>
      <c r="G12" s="9">
        <v>845</v>
      </c>
      <c r="H12" s="302">
        <v>60</v>
      </c>
      <c r="I12" s="9">
        <v>270</v>
      </c>
      <c r="J12" s="302">
        <v>65</v>
      </c>
      <c r="K12" s="9">
        <v>270</v>
      </c>
      <c r="L12" s="302">
        <v>79</v>
      </c>
      <c r="M12" s="9">
        <v>322.38</v>
      </c>
      <c r="N12" s="302">
        <v>53</v>
      </c>
      <c r="O12" s="9">
        <v>215.84</v>
      </c>
      <c r="P12" s="302">
        <v>17</v>
      </c>
      <c r="Q12" s="9">
        <v>85</v>
      </c>
      <c r="R12" s="302">
        <v>136</v>
      </c>
      <c r="S12" s="9">
        <v>646.65</v>
      </c>
      <c r="T12" s="171">
        <v>30</v>
      </c>
      <c r="U12" s="191">
        <v>140</v>
      </c>
      <c r="V12" s="171">
        <v>71</v>
      </c>
      <c r="W12" s="191">
        <v>345</v>
      </c>
      <c r="X12" s="171">
        <v>111</v>
      </c>
      <c r="Y12" s="191">
        <v>532</v>
      </c>
      <c r="Z12" s="171">
        <v>55</v>
      </c>
      <c r="AA12" s="191">
        <v>275.8</v>
      </c>
      <c r="AB12" s="172">
        <f t="shared" si="0"/>
        <v>1075</v>
      </c>
      <c r="AC12" s="303">
        <f t="shared" si="1"/>
        <v>5011.67</v>
      </c>
      <c r="AD12" s="304">
        <f t="shared" si="2"/>
        <v>-1.9258064516129</v>
      </c>
      <c r="AE12" s="305">
        <f t="shared" si="3"/>
        <v>-8.83655913978495</v>
      </c>
      <c r="AF12" s="309">
        <f t="shared" si="5"/>
        <v>0.00410353896835122</v>
      </c>
      <c r="AG12" s="194">
        <f t="shared" si="4"/>
        <v>0.00351896056822289</v>
      </c>
      <c r="AH12" s="157"/>
      <c r="AI12" s="157"/>
      <c r="AJ12" s="157"/>
      <c r="AK12" s="157"/>
    </row>
    <row r="13" s="28" customFormat="1" customHeight="1" spans="1:37">
      <c r="A13" s="182"/>
      <c r="B13" s="190"/>
      <c r="C13" s="170" t="s">
        <v>129</v>
      </c>
      <c r="D13" s="302">
        <v>94</v>
      </c>
      <c r="E13" s="9">
        <v>241.5</v>
      </c>
      <c r="F13" s="302">
        <v>135</v>
      </c>
      <c r="G13" s="9">
        <v>211</v>
      </c>
      <c r="H13" s="302">
        <v>115</v>
      </c>
      <c r="I13" s="9">
        <v>221.5</v>
      </c>
      <c r="J13" s="302">
        <v>113</v>
      </c>
      <c r="K13" s="9">
        <v>240.5</v>
      </c>
      <c r="L13" s="302">
        <v>97</v>
      </c>
      <c r="M13" s="9">
        <v>241</v>
      </c>
      <c r="N13" s="302">
        <v>98</v>
      </c>
      <c r="O13" s="9">
        <v>165.5</v>
      </c>
      <c r="P13" s="302">
        <v>82</v>
      </c>
      <c r="Q13" s="9">
        <v>161.33</v>
      </c>
      <c r="R13" s="302">
        <v>76</v>
      </c>
      <c r="S13" s="9">
        <v>150</v>
      </c>
      <c r="T13" s="171">
        <v>46</v>
      </c>
      <c r="U13" s="191">
        <v>146.5</v>
      </c>
      <c r="V13" s="171">
        <v>73</v>
      </c>
      <c r="W13" s="191">
        <v>133.5</v>
      </c>
      <c r="X13" s="171">
        <v>59</v>
      </c>
      <c r="Y13" s="191">
        <v>133.5</v>
      </c>
      <c r="Z13" s="171">
        <v>71</v>
      </c>
      <c r="AA13" s="191">
        <v>128</v>
      </c>
      <c r="AB13" s="172">
        <f t="shared" si="0"/>
        <v>1059</v>
      </c>
      <c r="AC13" s="303">
        <f t="shared" si="1"/>
        <v>2173.83</v>
      </c>
      <c r="AD13" s="304">
        <f t="shared" si="2"/>
        <v>0.323655913978495</v>
      </c>
      <c r="AE13" s="305">
        <f t="shared" si="3"/>
        <v>-0.320967741935484</v>
      </c>
      <c r="AF13" s="309">
        <f t="shared" si="5"/>
        <v>0.00404246303951994</v>
      </c>
      <c r="AG13" s="194">
        <f t="shared" si="4"/>
        <v>0.00152636188177193</v>
      </c>
      <c r="AH13" s="157"/>
      <c r="AI13" s="157"/>
      <c r="AJ13" s="157"/>
      <c r="AK13" s="157"/>
    </row>
    <row r="14" s="28" customFormat="1" customHeight="1" spans="1:37">
      <c r="A14" s="182"/>
      <c r="B14" s="197"/>
      <c r="C14" s="311" t="s">
        <v>130</v>
      </c>
      <c r="D14" s="312"/>
      <c r="E14" s="313"/>
      <c r="F14" s="312"/>
      <c r="G14" s="313"/>
      <c r="H14" s="312"/>
      <c r="I14" s="313"/>
      <c r="J14" s="312"/>
      <c r="K14" s="313"/>
      <c r="L14" s="312"/>
      <c r="M14" s="313"/>
      <c r="N14" s="312"/>
      <c r="O14" s="313"/>
      <c r="P14" s="312">
        <v>116</v>
      </c>
      <c r="Q14" s="313">
        <v>1333.53</v>
      </c>
      <c r="R14" s="312">
        <v>373</v>
      </c>
      <c r="S14" s="313">
        <v>4160.76</v>
      </c>
      <c r="T14" s="199">
        <v>421</v>
      </c>
      <c r="U14" s="200">
        <v>4974.2</v>
      </c>
      <c r="V14" s="199">
        <v>440</v>
      </c>
      <c r="W14" s="200">
        <v>5277.53</v>
      </c>
      <c r="X14" s="199">
        <v>569</v>
      </c>
      <c r="Y14" s="200">
        <v>7187.1</v>
      </c>
      <c r="Z14" s="199">
        <v>843</v>
      </c>
      <c r="AA14" s="200">
        <v>10871</v>
      </c>
      <c r="AB14" s="201">
        <f t="shared" si="0"/>
        <v>2762</v>
      </c>
      <c r="AC14" s="314">
        <f t="shared" si="1"/>
        <v>33804.12</v>
      </c>
      <c r="AD14" s="315">
        <f t="shared" si="2"/>
        <v>8.22688172043011</v>
      </c>
      <c r="AE14" s="316">
        <f t="shared" si="3"/>
        <v>111.107419354839</v>
      </c>
      <c r="AF14" s="317">
        <f t="shared" si="5"/>
        <v>0.0105432322144987</v>
      </c>
      <c r="AG14" s="318">
        <f>AC14/SUM($AC$4:$AC$14)</f>
        <v>0.0237356740015752</v>
      </c>
      <c r="AH14" s="157"/>
      <c r="AI14" s="157"/>
      <c r="AJ14" s="157"/>
      <c r="AK14" s="157"/>
    </row>
    <row r="15" s="28" customFormat="1" customHeight="1" spans="1:37">
      <c r="A15" s="182"/>
      <c r="B15" s="183" t="s">
        <v>131</v>
      </c>
      <c r="C15" s="184" t="s">
        <v>120</v>
      </c>
      <c r="D15" s="319">
        <v>6697</v>
      </c>
      <c r="E15" s="320">
        <v>21324.9</v>
      </c>
      <c r="F15" s="319">
        <v>6384</v>
      </c>
      <c r="G15" s="320">
        <v>20602.49</v>
      </c>
      <c r="H15" s="319">
        <v>7860</v>
      </c>
      <c r="I15" s="320">
        <v>25124.61</v>
      </c>
      <c r="J15" s="319">
        <v>7372</v>
      </c>
      <c r="K15" s="320">
        <v>24184.11</v>
      </c>
      <c r="L15" s="319">
        <v>7409</v>
      </c>
      <c r="M15" s="320">
        <v>24617.44</v>
      </c>
      <c r="N15" s="319">
        <v>6990</v>
      </c>
      <c r="O15" s="320">
        <v>23528.83</v>
      </c>
      <c r="P15" s="319">
        <v>8219</v>
      </c>
      <c r="Q15" s="320">
        <v>29287.65</v>
      </c>
      <c r="R15" s="319">
        <v>10414</v>
      </c>
      <c r="S15" s="320">
        <v>29601.53</v>
      </c>
      <c r="T15" s="185">
        <f>9353+69+14</f>
        <v>9436</v>
      </c>
      <c r="U15" s="186">
        <f>25267.92+434.67+46.87</f>
        <v>25749.46</v>
      </c>
      <c r="V15" s="185">
        <f>10135+128+609</f>
        <v>10872</v>
      </c>
      <c r="W15" s="186">
        <f>28541.26+807.76+916.61</f>
        <v>30265.63</v>
      </c>
      <c r="X15" s="321">
        <v>12003</v>
      </c>
      <c r="Y15" s="321">
        <v>27866.25</v>
      </c>
      <c r="Z15" s="185">
        <v>13035</v>
      </c>
      <c r="AA15" s="186">
        <v>25183.08</v>
      </c>
      <c r="AB15" s="187">
        <f t="shared" si="0"/>
        <v>106691</v>
      </c>
      <c r="AC15" s="322">
        <f t="shared" si="1"/>
        <v>307335.98</v>
      </c>
      <c r="AD15" s="323">
        <f t="shared" si="2"/>
        <v>20.3838709677419</v>
      </c>
      <c r="AE15" s="324">
        <f t="shared" si="3"/>
        <v>-116.517580645161</v>
      </c>
      <c r="AF15" s="325">
        <f>AB15/SUM($AB$15:$AB$27)</f>
        <v>0.315484903054873</v>
      </c>
      <c r="AG15" s="217">
        <f>AC15/SUM($AC$15:$AC$27)</f>
        <v>0.181342792438092</v>
      </c>
      <c r="AH15" s="157"/>
      <c r="AI15" s="157">
        <f>AG15</f>
        <v>0.181342792438092</v>
      </c>
      <c r="AJ15" s="157">
        <f>AG17</f>
        <v>0.102407344371771</v>
      </c>
      <c r="AK15" s="157">
        <f>AG23+AG20</f>
        <v>0.107897688119395</v>
      </c>
    </row>
    <row r="16" s="28" customFormat="1" customHeight="1" spans="1:37">
      <c r="A16" s="182"/>
      <c r="B16" s="190"/>
      <c r="C16" s="170" t="s">
        <v>121</v>
      </c>
      <c r="D16" s="302">
        <v>6460</v>
      </c>
      <c r="E16" s="9">
        <v>44737.25</v>
      </c>
      <c r="F16" s="302">
        <v>6880</v>
      </c>
      <c r="G16" s="9">
        <v>47600.56</v>
      </c>
      <c r="H16" s="302">
        <v>8463</v>
      </c>
      <c r="I16" s="9">
        <v>57927.4</v>
      </c>
      <c r="J16" s="302">
        <v>7446</v>
      </c>
      <c r="K16" s="9">
        <v>51879.5</v>
      </c>
      <c r="L16" s="302">
        <v>6269</v>
      </c>
      <c r="M16" s="9">
        <v>45095.75</v>
      </c>
      <c r="N16" s="302">
        <v>5126</v>
      </c>
      <c r="O16" s="9">
        <v>37151.93</v>
      </c>
      <c r="P16" s="302">
        <v>5703</v>
      </c>
      <c r="Q16" s="9">
        <v>39376.61</v>
      </c>
      <c r="R16" s="302">
        <v>5793</v>
      </c>
      <c r="S16" s="9">
        <v>36273.95</v>
      </c>
      <c r="T16" s="171">
        <f>4955+3</f>
        <v>4958</v>
      </c>
      <c r="U16" s="191">
        <f>30857.91+26.92</f>
        <v>30884.83</v>
      </c>
      <c r="V16" s="171">
        <f>5084+263+85+41+137</f>
        <v>5610</v>
      </c>
      <c r="W16" s="191">
        <f>32205.69+1072.12+850+263.36+742.1</f>
        <v>35133.27</v>
      </c>
      <c r="X16" s="326">
        <v>6127</v>
      </c>
      <c r="Y16" s="326">
        <v>37668.11</v>
      </c>
      <c r="Z16" s="171">
        <v>6350</v>
      </c>
      <c r="AA16" s="191">
        <v>38695.5</v>
      </c>
      <c r="AB16" s="172">
        <f t="shared" si="0"/>
        <v>75185</v>
      </c>
      <c r="AC16" s="303">
        <f t="shared" si="1"/>
        <v>502424.66</v>
      </c>
      <c r="AD16" s="304">
        <f t="shared" si="2"/>
        <v>0.605376344086039</v>
      </c>
      <c r="AE16" s="305">
        <f t="shared" si="3"/>
        <v>-7.36173118279567</v>
      </c>
      <c r="AF16" s="310">
        <f t="shared" ref="AF16:AF27" si="6">AB16/SUM($AB$15:$AB$27)</f>
        <v>0.222321774434401</v>
      </c>
      <c r="AG16" s="220">
        <f t="shared" ref="AG16:AG27" si="7">AC16/SUM($AC$15:$AC$27)</f>
        <v>0.296454358627841</v>
      </c>
      <c r="AH16" s="157">
        <f>AG16+AG18+AG22</f>
        <v>0.457710545444349</v>
      </c>
      <c r="AI16" s="157"/>
      <c r="AJ16" s="157"/>
      <c r="AK16" s="157"/>
    </row>
    <row r="17" s="28" customFormat="1" customHeight="1" spans="1:41">
      <c r="A17" s="182"/>
      <c r="B17" s="190"/>
      <c r="C17" s="170" t="s">
        <v>117</v>
      </c>
      <c r="D17" s="302">
        <v>5385</v>
      </c>
      <c r="E17" s="9">
        <v>14525.77</v>
      </c>
      <c r="F17" s="302">
        <v>5288</v>
      </c>
      <c r="G17" s="9">
        <v>14264.3</v>
      </c>
      <c r="H17" s="302">
        <v>6469</v>
      </c>
      <c r="I17" s="9">
        <v>17510.04</v>
      </c>
      <c r="J17" s="302">
        <v>5872</v>
      </c>
      <c r="K17" s="9">
        <v>16320.19</v>
      </c>
      <c r="L17" s="302">
        <v>4954</v>
      </c>
      <c r="M17" s="9">
        <v>13880.86</v>
      </c>
      <c r="N17" s="302">
        <v>4204</v>
      </c>
      <c r="O17" s="9">
        <v>11732.77</v>
      </c>
      <c r="P17" s="302">
        <v>5375</v>
      </c>
      <c r="Q17" s="9">
        <v>15259.38</v>
      </c>
      <c r="R17" s="302">
        <v>5533</v>
      </c>
      <c r="S17" s="9">
        <v>15080.55</v>
      </c>
      <c r="T17" s="171">
        <f>4452+1</f>
        <v>4453</v>
      </c>
      <c r="U17" s="191">
        <f>12086.42+2.79</f>
        <v>12089.21</v>
      </c>
      <c r="V17" s="171">
        <f>4851+110</f>
        <v>4961</v>
      </c>
      <c r="W17" s="191">
        <f>13033.74+247.2</f>
        <v>13280.94</v>
      </c>
      <c r="X17" s="326">
        <v>5586</v>
      </c>
      <c r="Y17" s="326">
        <v>14314.77</v>
      </c>
      <c r="Z17" s="171">
        <v>5976</v>
      </c>
      <c r="AA17" s="191">
        <v>15299.05</v>
      </c>
      <c r="AB17" s="172">
        <f t="shared" si="0"/>
        <v>64056</v>
      </c>
      <c r="AC17" s="303">
        <f t="shared" si="1"/>
        <v>173557.83</v>
      </c>
      <c r="AD17" s="304">
        <f t="shared" si="2"/>
        <v>6.57419354838711</v>
      </c>
      <c r="AE17" s="305">
        <f t="shared" si="3"/>
        <v>16.3587419354839</v>
      </c>
      <c r="AF17" s="310">
        <f t="shared" si="6"/>
        <v>0.189413361483939</v>
      </c>
      <c r="AG17" s="220">
        <f t="shared" si="7"/>
        <v>0.102407344371771</v>
      </c>
      <c r="AH17" s="157"/>
      <c r="AI17" s="157"/>
      <c r="AJ17" s="157"/>
      <c r="AK17" s="157"/>
    </row>
    <row r="18" s="28" customFormat="1" customHeight="1" spans="1:41">
      <c r="A18" s="182"/>
      <c r="B18" s="190"/>
      <c r="C18" s="196" t="s">
        <v>122</v>
      </c>
      <c r="D18" s="302">
        <v>2176</v>
      </c>
      <c r="E18" s="9">
        <v>14574.26</v>
      </c>
      <c r="F18" s="302">
        <v>2073</v>
      </c>
      <c r="G18" s="9">
        <v>14146.98</v>
      </c>
      <c r="H18" s="302">
        <v>2474</v>
      </c>
      <c r="I18" s="9">
        <v>16946.32</v>
      </c>
      <c r="J18" s="302">
        <v>2070</v>
      </c>
      <c r="K18" s="9">
        <v>14039.81</v>
      </c>
      <c r="L18" s="302">
        <v>1844</v>
      </c>
      <c r="M18" s="9">
        <v>12692.97</v>
      </c>
      <c r="N18" s="302">
        <v>1766</v>
      </c>
      <c r="O18" s="9">
        <v>12086.4</v>
      </c>
      <c r="P18" s="302">
        <v>2197</v>
      </c>
      <c r="Q18" s="9">
        <v>17075.07</v>
      </c>
      <c r="R18" s="302">
        <v>3113</v>
      </c>
      <c r="S18" s="9">
        <v>23530.33</v>
      </c>
      <c r="T18" s="171">
        <f>2448+221+7</f>
        <v>2676</v>
      </c>
      <c r="U18" s="191">
        <f>19948.9+1437.21+43.63</f>
        <v>21429.74</v>
      </c>
      <c r="V18" s="171">
        <f>2863+101</f>
        <v>2964</v>
      </c>
      <c r="W18" s="191">
        <f>23471.25+735.95</f>
        <v>24207.2</v>
      </c>
      <c r="X18" s="326">
        <v>2918</v>
      </c>
      <c r="Y18" s="326">
        <v>22768.37</v>
      </c>
      <c r="Z18" s="171">
        <v>3677</v>
      </c>
      <c r="AA18" s="191">
        <v>27783.96</v>
      </c>
      <c r="AB18" s="172">
        <f t="shared" si="0"/>
        <v>29948</v>
      </c>
      <c r="AC18" s="303">
        <f t="shared" si="1"/>
        <v>221281.41</v>
      </c>
      <c r="AD18" s="304">
        <f t="shared" si="2"/>
        <v>21.3462365591398</v>
      </c>
      <c r="AE18" s="307">
        <f t="shared" si="3"/>
        <v>137.311107526882</v>
      </c>
      <c r="AF18" s="310">
        <f t="shared" si="6"/>
        <v>0.0885561282271919</v>
      </c>
      <c r="AG18" s="220">
        <f t="shared" si="7"/>
        <v>0.13056651812794</v>
      </c>
      <c r="AH18" s="195"/>
      <c r="AI18" s="195"/>
      <c r="AJ18" s="195"/>
      <c r="AK18" s="195"/>
      <c r="AL18" s="18"/>
      <c r="AM18" s="18"/>
    </row>
    <row r="19" s="28" customFormat="1" customHeight="1" spans="1:41">
      <c r="A19" s="182"/>
      <c r="B19" s="190"/>
      <c r="C19" s="170" t="s">
        <v>132</v>
      </c>
      <c r="D19" s="302"/>
      <c r="E19" s="9"/>
      <c r="F19" s="302"/>
      <c r="G19" s="9"/>
      <c r="H19" s="302"/>
      <c r="I19" s="9"/>
      <c r="J19" s="302">
        <v>1589</v>
      </c>
      <c r="K19" s="9">
        <v>13709.87</v>
      </c>
      <c r="L19" s="302">
        <v>3483</v>
      </c>
      <c r="M19" s="9">
        <v>29240</v>
      </c>
      <c r="N19" s="302">
        <v>2966</v>
      </c>
      <c r="O19" s="9">
        <v>24517.35</v>
      </c>
      <c r="P19" s="302">
        <v>3916</v>
      </c>
      <c r="Q19" s="9">
        <v>33103.56</v>
      </c>
      <c r="R19" s="302">
        <v>3610</v>
      </c>
      <c r="S19" s="9">
        <v>30239.63</v>
      </c>
      <c r="T19" s="171">
        <f>2734+1</f>
        <v>2735</v>
      </c>
      <c r="U19" s="191">
        <f>22369.61+12.84</f>
        <v>22382.45</v>
      </c>
      <c r="V19" s="171">
        <f>2461+4+66+90</f>
        <v>2621</v>
      </c>
      <c r="W19" s="191">
        <f>20504.34+32.83+659.89+1188.47</f>
        <v>22385.53</v>
      </c>
      <c r="X19" s="326">
        <v>2320</v>
      </c>
      <c r="Y19" s="326">
        <v>21744.95</v>
      </c>
      <c r="Z19" s="171">
        <v>2340</v>
      </c>
      <c r="AA19" s="191">
        <v>22239.8</v>
      </c>
      <c r="AB19" s="172">
        <f t="shared" si="0"/>
        <v>25580</v>
      </c>
      <c r="AC19" s="303">
        <f t="shared" si="1"/>
        <v>219563.14</v>
      </c>
      <c r="AD19" s="304">
        <f t="shared" si="2"/>
        <v>-1.84946236559139</v>
      </c>
      <c r="AE19" s="305">
        <f t="shared" si="3"/>
        <v>-7.41876344086029</v>
      </c>
      <c r="AF19" s="310">
        <f t="shared" si="6"/>
        <v>0.075639967946159</v>
      </c>
      <c r="AG19" s="220">
        <f t="shared" si="7"/>
        <v>0.12955265740144</v>
      </c>
      <c r="AH19" s="195"/>
      <c r="AI19" s="195"/>
      <c r="AJ19" s="195"/>
      <c r="AK19" s="195"/>
      <c r="AL19" s="18"/>
      <c r="AM19" s="18"/>
    </row>
    <row r="20" s="28" customFormat="1" customHeight="1" spans="1:41">
      <c r="A20" s="182"/>
      <c r="B20" s="190"/>
      <c r="C20" s="170" t="s">
        <v>126</v>
      </c>
      <c r="D20" s="302">
        <v>578</v>
      </c>
      <c r="E20" s="9">
        <v>5934.48</v>
      </c>
      <c r="F20" s="302">
        <v>597</v>
      </c>
      <c r="G20" s="9">
        <v>6068.74</v>
      </c>
      <c r="H20" s="302">
        <v>731</v>
      </c>
      <c r="I20" s="9">
        <v>7529.32</v>
      </c>
      <c r="J20" s="302">
        <v>766</v>
      </c>
      <c r="K20" s="9">
        <v>7907.71</v>
      </c>
      <c r="L20" s="302">
        <v>707</v>
      </c>
      <c r="M20" s="9">
        <v>7003.39</v>
      </c>
      <c r="N20" s="302">
        <v>636</v>
      </c>
      <c r="O20" s="9">
        <v>6485.36</v>
      </c>
      <c r="P20" s="302">
        <v>633</v>
      </c>
      <c r="Q20" s="9">
        <v>6256.68</v>
      </c>
      <c r="R20" s="302">
        <v>685</v>
      </c>
      <c r="S20" s="9">
        <v>6655.91</v>
      </c>
      <c r="T20" s="171">
        <f>718</f>
        <v>718</v>
      </c>
      <c r="U20" s="191">
        <f>7033.38</f>
        <v>7033.38</v>
      </c>
      <c r="V20" s="171">
        <f>683+27+37</f>
        <v>747</v>
      </c>
      <c r="W20" s="191">
        <f>6813.61+228.08+324.91</f>
        <v>7366.6</v>
      </c>
      <c r="X20" s="326">
        <v>803</v>
      </c>
      <c r="Y20" s="326">
        <v>7660.17</v>
      </c>
      <c r="Z20" s="171">
        <v>859</v>
      </c>
      <c r="AA20" s="191">
        <v>8213.25</v>
      </c>
      <c r="AB20" s="172">
        <f t="shared" si="0"/>
        <v>8460</v>
      </c>
      <c r="AC20" s="303">
        <f t="shared" si="1"/>
        <v>84114.99</v>
      </c>
      <c r="AD20" s="304">
        <f t="shared" si="2"/>
        <v>0.943010752688174</v>
      </c>
      <c r="AE20" s="305">
        <f t="shared" si="3"/>
        <v>9.60454838709677</v>
      </c>
      <c r="AF20" s="310">
        <f t="shared" si="6"/>
        <v>0.0250161895552973</v>
      </c>
      <c r="AG20" s="220">
        <f t="shared" si="7"/>
        <v>0.0496318301960681</v>
      </c>
      <c r="AH20" s="195"/>
      <c r="AI20" s="195"/>
      <c r="AJ20" s="195"/>
      <c r="AK20" s="195"/>
      <c r="AL20" s="18"/>
      <c r="AM20" s="18"/>
    </row>
    <row r="21" s="28" customFormat="1" customHeight="1" spans="1:41">
      <c r="A21" s="182"/>
      <c r="B21" s="190"/>
      <c r="C21" s="170" t="s">
        <v>128</v>
      </c>
      <c r="D21" s="302">
        <v>400</v>
      </c>
      <c r="E21" s="9">
        <v>1979.03</v>
      </c>
      <c r="F21" s="302">
        <v>160</v>
      </c>
      <c r="G21" s="9">
        <v>862</v>
      </c>
      <c r="H21" s="302">
        <v>148</v>
      </c>
      <c r="I21" s="9">
        <v>750</v>
      </c>
      <c r="J21" s="302">
        <v>195</v>
      </c>
      <c r="K21" s="9">
        <v>1110</v>
      </c>
      <c r="L21" s="302">
        <v>185</v>
      </c>
      <c r="M21" s="9">
        <v>931.27</v>
      </c>
      <c r="N21" s="302">
        <v>126</v>
      </c>
      <c r="O21" s="9">
        <v>620</v>
      </c>
      <c r="P21" s="302">
        <v>106</v>
      </c>
      <c r="Q21" s="9">
        <v>492.66</v>
      </c>
      <c r="R21" s="302">
        <v>155</v>
      </c>
      <c r="S21" s="327">
        <v>758.33</v>
      </c>
      <c r="T21" s="171">
        <f>292</f>
        <v>292</v>
      </c>
      <c r="U21" s="191">
        <f>1282.14</f>
        <v>1282.14</v>
      </c>
      <c r="V21" s="171">
        <v>124</v>
      </c>
      <c r="W21" s="191">
        <v>696</v>
      </c>
      <c r="X21" s="326">
        <v>134</v>
      </c>
      <c r="Y21" s="326">
        <v>560.69</v>
      </c>
      <c r="Z21" s="171">
        <v>246</v>
      </c>
      <c r="AA21" s="191">
        <v>1142</v>
      </c>
      <c r="AB21" s="172">
        <f t="shared" si="0"/>
        <v>2271</v>
      </c>
      <c r="AC21" s="303">
        <f t="shared" si="1"/>
        <v>11184.12</v>
      </c>
      <c r="AD21" s="304">
        <f t="shared" si="2"/>
        <v>3.46881720430108</v>
      </c>
      <c r="AE21" s="305">
        <f t="shared" si="3"/>
        <v>18.1490430107527</v>
      </c>
      <c r="AF21" s="309">
        <f t="shared" si="6"/>
        <v>0.00671533882743265</v>
      </c>
      <c r="AG21" s="194">
        <f t="shared" si="7"/>
        <v>0.00659916080038111</v>
      </c>
      <c r="AH21" s="195"/>
      <c r="AI21" s="195"/>
      <c r="AJ21" s="195"/>
      <c r="AK21" s="195"/>
      <c r="AL21" s="18"/>
      <c r="AM21" s="18"/>
    </row>
    <row r="22" s="28" customFormat="1" customHeight="1" spans="1:41">
      <c r="A22" s="182"/>
      <c r="B22" s="190"/>
      <c r="C22" s="170" t="s">
        <v>133</v>
      </c>
      <c r="D22" s="302">
        <v>292</v>
      </c>
      <c r="E22" s="9">
        <v>4060.31</v>
      </c>
      <c r="F22" s="302">
        <v>306</v>
      </c>
      <c r="G22" s="9">
        <v>4326</v>
      </c>
      <c r="H22" s="302">
        <v>336</v>
      </c>
      <c r="I22" s="9">
        <v>4719.17</v>
      </c>
      <c r="J22" s="302">
        <v>251</v>
      </c>
      <c r="K22" s="9">
        <v>3533.33</v>
      </c>
      <c r="L22" s="302">
        <v>291</v>
      </c>
      <c r="M22" s="9">
        <v>4183.37</v>
      </c>
      <c r="N22" s="302">
        <v>268</v>
      </c>
      <c r="O22" s="9">
        <v>3758.95</v>
      </c>
      <c r="P22" s="302">
        <v>237</v>
      </c>
      <c r="Q22" s="9">
        <v>3360.41</v>
      </c>
      <c r="R22" s="302">
        <v>340</v>
      </c>
      <c r="S22" s="9">
        <v>4269.18</v>
      </c>
      <c r="T22" s="171">
        <f>311</f>
        <v>311</v>
      </c>
      <c r="U22" s="191">
        <f>4110.67</f>
        <v>4110.67</v>
      </c>
      <c r="V22" s="171">
        <f>294+47</f>
        <v>341</v>
      </c>
      <c r="W22" s="191">
        <f>3999.09+495.26</f>
        <v>4494.35</v>
      </c>
      <c r="X22" s="326">
        <v>424</v>
      </c>
      <c r="Y22" s="326">
        <v>5221.25</v>
      </c>
      <c r="Z22" s="171">
        <v>475</v>
      </c>
      <c r="AA22" s="191">
        <v>5975.22</v>
      </c>
      <c r="AB22" s="172">
        <f t="shared" si="0"/>
        <v>3872</v>
      </c>
      <c r="AC22" s="303">
        <f t="shared" si="1"/>
        <v>52012.21</v>
      </c>
      <c r="AD22" s="304">
        <f t="shared" si="2"/>
        <v>1.18924731182796</v>
      </c>
      <c r="AE22" s="305">
        <f t="shared" si="3"/>
        <v>18.7073655913979</v>
      </c>
      <c r="AF22" s="309">
        <f t="shared" si="6"/>
        <v>0.0114494900659706</v>
      </c>
      <c r="AG22" s="194">
        <f t="shared" si="7"/>
        <v>0.0306896686885683</v>
      </c>
      <c r="AH22" s="195"/>
      <c r="AI22" s="195"/>
      <c r="AJ22" s="195"/>
      <c r="AK22" s="195"/>
      <c r="AL22" s="18"/>
      <c r="AM22" s="18"/>
    </row>
    <row r="23" s="28" customFormat="1" customHeight="1" spans="1:41">
      <c r="A23" s="182"/>
      <c r="B23" s="190"/>
      <c r="C23" s="196" t="s">
        <v>130</v>
      </c>
      <c r="D23" s="302">
        <v>211</v>
      </c>
      <c r="E23" s="9">
        <v>3199.1</v>
      </c>
      <c r="F23" s="302">
        <v>328</v>
      </c>
      <c r="G23" s="9">
        <v>4971.31</v>
      </c>
      <c r="H23" s="302">
        <v>325</v>
      </c>
      <c r="I23" s="9">
        <v>4928.76</v>
      </c>
      <c r="J23" s="302">
        <v>319</v>
      </c>
      <c r="K23" s="9">
        <v>4864</v>
      </c>
      <c r="L23" s="302">
        <v>397</v>
      </c>
      <c r="M23" s="9">
        <v>6019.75</v>
      </c>
      <c r="N23" s="302">
        <v>358</v>
      </c>
      <c r="O23" s="9">
        <v>5371.76</v>
      </c>
      <c r="P23" s="302">
        <v>394</v>
      </c>
      <c r="Q23" s="9">
        <v>5876.82</v>
      </c>
      <c r="R23" s="302">
        <v>395</v>
      </c>
      <c r="S23" s="9">
        <v>5657.58</v>
      </c>
      <c r="T23" s="171">
        <f>469</f>
        <v>469</v>
      </c>
      <c r="U23" s="191">
        <f>6795.79</f>
        <v>6795.79</v>
      </c>
      <c r="V23" s="171">
        <f>457+51</f>
        <v>508</v>
      </c>
      <c r="W23" s="191">
        <f>6703.43+633.99</f>
        <v>7337.42</v>
      </c>
      <c r="X23" s="326">
        <v>1253</v>
      </c>
      <c r="Y23" s="326">
        <v>17107.46</v>
      </c>
      <c r="Z23" s="171">
        <v>1930</v>
      </c>
      <c r="AA23" s="191">
        <v>26618.01</v>
      </c>
      <c r="AB23" s="172">
        <f t="shared" si="0"/>
        <v>6887</v>
      </c>
      <c r="AC23" s="303">
        <f t="shared" si="1"/>
        <v>98747.76</v>
      </c>
      <c r="AD23" s="304">
        <f t="shared" si="2"/>
        <v>20.4913978494624</v>
      </c>
      <c r="AE23" s="307">
        <f t="shared" si="3"/>
        <v>288.396817204301</v>
      </c>
      <c r="AF23" s="310">
        <f t="shared" si="6"/>
        <v>0.0203648342159968</v>
      </c>
      <c r="AG23" s="220">
        <f t="shared" si="7"/>
        <v>0.0582658579233271</v>
      </c>
      <c r="AH23" s="195"/>
      <c r="AI23" s="195"/>
      <c r="AJ23" s="195"/>
      <c r="AK23" s="195"/>
      <c r="AL23" s="18"/>
      <c r="AM23" s="18"/>
    </row>
    <row r="24" s="28" customFormat="1" customHeight="1" spans="1:41">
      <c r="A24" s="182"/>
      <c r="B24" s="190"/>
      <c r="C24" s="170" t="s">
        <v>134</v>
      </c>
      <c r="D24" s="302">
        <v>94</v>
      </c>
      <c r="E24" s="9">
        <v>155</v>
      </c>
      <c r="F24" s="302">
        <v>117</v>
      </c>
      <c r="G24" s="9">
        <v>157.48</v>
      </c>
      <c r="H24" s="302">
        <v>140</v>
      </c>
      <c r="I24" s="9">
        <v>254</v>
      </c>
      <c r="J24" s="302">
        <v>163</v>
      </c>
      <c r="K24" s="9">
        <v>270</v>
      </c>
      <c r="L24" s="302">
        <v>154</v>
      </c>
      <c r="M24" s="9">
        <v>336.39</v>
      </c>
      <c r="N24" s="302">
        <v>216</v>
      </c>
      <c r="O24" s="9">
        <v>388.88</v>
      </c>
      <c r="P24" s="302">
        <v>204</v>
      </c>
      <c r="Q24" s="9">
        <v>525.78</v>
      </c>
      <c r="R24" s="302">
        <f>594+466</f>
        <v>1060</v>
      </c>
      <c r="S24" s="9">
        <f>22.18+472.45</f>
        <v>494.63</v>
      </c>
      <c r="T24" s="171">
        <f>123</f>
        <v>123</v>
      </c>
      <c r="U24" s="191">
        <f>163.84</f>
        <v>163.84</v>
      </c>
      <c r="V24" s="171">
        <f>175+15+4</f>
        <v>194</v>
      </c>
      <c r="W24" s="191">
        <f>225.91+53.23+18.75</f>
        <v>297.89</v>
      </c>
      <c r="X24" s="326">
        <v>199</v>
      </c>
      <c r="Y24" s="326">
        <v>312.97</v>
      </c>
      <c r="Z24" s="171">
        <v>238</v>
      </c>
      <c r="AA24" s="191">
        <v>436.47</v>
      </c>
      <c r="AB24" s="172">
        <f t="shared" si="0"/>
        <v>2902</v>
      </c>
      <c r="AC24" s="303">
        <f t="shared" si="1"/>
        <v>3793.33</v>
      </c>
      <c r="AD24" s="304">
        <f t="shared" si="2"/>
        <v>1.04408602150538</v>
      </c>
      <c r="AE24" s="305">
        <f t="shared" si="3"/>
        <v>3.6473440860215</v>
      </c>
      <c r="AF24" s="309">
        <f t="shared" si="6"/>
        <v>0.00858120355667527</v>
      </c>
      <c r="AG24" s="194">
        <f t="shared" si="7"/>
        <v>0.00223824446079885</v>
      </c>
      <c r="AH24" s="195"/>
      <c r="AI24" s="195"/>
      <c r="AJ24" s="195"/>
      <c r="AK24" s="195"/>
      <c r="AL24" s="18"/>
      <c r="AM24" s="18"/>
    </row>
    <row r="25" s="28" customFormat="1" customHeight="1" spans="1:41">
      <c r="A25" s="182"/>
      <c r="B25" s="190"/>
      <c r="C25" s="170" t="s">
        <v>135</v>
      </c>
      <c r="D25" s="171"/>
      <c r="E25" s="171"/>
      <c r="F25" s="171"/>
      <c r="G25" s="171"/>
      <c r="H25" s="171"/>
      <c r="I25" s="171"/>
      <c r="J25" s="171"/>
      <c r="K25" s="171"/>
      <c r="L25" s="171"/>
      <c r="M25" s="328"/>
      <c r="N25" s="171"/>
      <c r="O25" s="328"/>
      <c r="P25" s="302">
        <v>1</v>
      </c>
      <c r="Q25" s="9">
        <v>1.99</v>
      </c>
      <c r="R25" s="302">
        <v>1617</v>
      </c>
      <c r="S25" s="9">
        <v>3167.38</v>
      </c>
      <c r="T25" s="171">
        <f>1130</f>
        <v>1130</v>
      </c>
      <c r="U25" s="191">
        <f>2101.35</f>
        <v>2101.35</v>
      </c>
      <c r="V25" s="171">
        <f>563+387</f>
        <v>950</v>
      </c>
      <c r="W25" s="191">
        <f>696.72+1133.26</f>
        <v>1829.98</v>
      </c>
      <c r="X25" s="326">
        <v>0</v>
      </c>
      <c r="Y25" s="326">
        <v>0</v>
      </c>
      <c r="Z25" s="171">
        <v>0</v>
      </c>
      <c r="AA25" s="191">
        <v>0</v>
      </c>
      <c r="AB25" s="172">
        <f t="shared" si="0"/>
        <v>3698</v>
      </c>
      <c r="AC25" s="303">
        <f t="shared" si="1"/>
        <v>7100.7</v>
      </c>
      <c r="AD25" s="304">
        <f t="shared" si="2"/>
        <v>0</v>
      </c>
      <c r="AE25" s="305">
        <f t="shared" si="3"/>
        <v>0</v>
      </c>
      <c r="AF25" s="309">
        <f t="shared" si="6"/>
        <v>0.0109349726921382</v>
      </c>
      <c r="AG25" s="194">
        <f t="shared" si="7"/>
        <v>0.00418974949260792</v>
      </c>
      <c r="AH25" s="195"/>
      <c r="AI25" s="195"/>
      <c r="AJ25" s="195"/>
      <c r="AK25" s="195"/>
      <c r="AL25" s="18"/>
      <c r="AM25" s="18"/>
      <c r="AN25" s="18"/>
      <c r="AO25" s="18"/>
    </row>
    <row r="26" s="28" customFormat="1" customHeight="1" spans="1:41">
      <c r="A26" s="182"/>
      <c r="B26" s="190"/>
      <c r="C26" s="170" t="s">
        <v>136</v>
      </c>
      <c r="D26" s="302"/>
      <c r="E26" s="9"/>
      <c r="F26" s="302"/>
      <c r="G26" s="9"/>
      <c r="H26" s="302"/>
      <c r="I26" s="9"/>
      <c r="J26" s="302"/>
      <c r="K26" s="9"/>
      <c r="L26" s="302"/>
      <c r="M26" s="329"/>
      <c r="N26" s="302"/>
      <c r="O26" s="329"/>
      <c r="P26" s="302"/>
      <c r="Q26" s="9"/>
      <c r="R26" s="9">
        <v>158</v>
      </c>
      <c r="S26" s="9">
        <v>6.16</v>
      </c>
      <c r="T26" s="171">
        <f>316+267+6</f>
        <v>589</v>
      </c>
      <c r="U26" s="191">
        <f>15.57+62.31+2.14</f>
        <v>80.02</v>
      </c>
      <c r="V26" s="171">
        <f>902+205</f>
        <v>1107</v>
      </c>
      <c r="W26" s="191">
        <f>65.59+27.37</f>
        <v>92.96</v>
      </c>
      <c r="X26" s="326">
        <v>2147</v>
      </c>
      <c r="Y26" s="326">
        <v>140.36</v>
      </c>
      <c r="Z26" s="171">
        <v>4630</v>
      </c>
      <c r="AA26" s="191">
        <v>316.39</v>
      </c>
      <c r="AB26" s="172">
        <f t="shared" si="0"/>
        <v>8631</v>
      </c>
      <c r="AC26" s="303">
        <f t="shared" si="1"/>
        <v>635.89</v>
      </c>
      <c r="AD26" s="304">
        <f t="shared" si="2"/>
        <v>77.7881720430107</v>
      </c>
      <c r="AE26" s="305">
        <f t="shared" si="3"/>
        <v>5.5274623655914</v>
      </c>
      <c r="AF26" s="309">
        <f t="shared" si="6"/>
        <v>0.0255218359399257</v>
      </c>
      <c r="AG26" s="194">
        <f t="shared" si="7"/>
        <v>0.000375205233970517</v>
      </c>
      <c r="AH26" s="195"/>
      <c r="AI26" s="195"/>
      <c r="AJ26" s="195"/>
      <c r="AK26" s="195"/>
      <c r="AL26" s="18"/>
      <c r="AM26" s="18"/>
      <c r="AN26" s="18"/>
      <c r="AO26" s="18"/>
    </row>
    <row r="27" s="28" customFormat="1" customHeight="1" spans="1:41">
      <c r="A27" s="182"/>
      <c r="B27" s="197"/>
      <c r="C27" s="198" t="s">
        <v>137</v>
      </c>
      <c r="D27" s="330"/>
      <c r="E27" s="330"/>
      <c r="F27" s="330"/>
      <c r="G27" s="330"/>
      <c r="H27" s="330"/>
      <c r="I27" s="330"/>
      <c r="J27" s="330"/>
      <c r="K27" s="330"/>
      <c r="L27" s="330"/>
      <c r="M27" s="331"/>
      <c r="N27" s="330"/>
      <c r="O27" s="331"/>
      <c r="P27" s="330"/>
      <c r="Q27" s="313"/>
      <c r="R27" s="313"/>
      <c r="S27" s="313"/>
      <c r="T27" s="199"/>
      <c r="U27" s="200">
        <v>1581.55</v>
      </c>
      <c r="V27" s="199"/>
      <c r="W27" s="200">
        <v>2211.38</v>
      </c>
      <c r="X27" s="332">
        <f>T27+AJ27</f>
        <v>0</v>
      </c>
      <c r="Y27" s="332">
        <v>3713.15</v>
      </c>
      <c r="Z27" s="199"/>
      <c r="AA27" s="200">
        <v>5521.03</v>
      </c>
      <c r="AB27" s="201">
        <f t="shared" si="0"/>
        <v>0</v>
      </c>
      <c r="AC27" s="314">
        <f t="shared" si="1"/>
        <v>13027.11</v>
      </c>
      <c r="AD27" s="315">
        <f t="shared" si="2"/>
        <v>0</v>
      </c>
      <c r="AE27" s="333">
        <f t="shared" si="3"/>
        <v>54.3260752688172</v>
      </c>
      <c r="AF27" s="334">
        <f>AB27/SUM($AB$15:$AB$27)</f>
        <v>0</v>
      </c>
      <c r="AG27" s="203">
        <f t="shared" si="7"/>
        <v>0.00768661223719459</v>
      </c>
      <c r="AH27" s="195"/>
      <c r="AI27" s="195"/>
      <c r="AJ27" s="195"/>
      <c r="AK27" s="195"/>
      <c r="AL27" s="18"/>
      <c r="AM27" s="18"/>
      <c r="AN27" s="18"/>
      <c r="AO27" s="18"/>
    </row>
    <row r="28" s="28" customFormat="1" customHeight="1" spans="1:41">
      <c r="A28" s="182"/>
      <c r="B28" s="204" t="s">
        <v>138</v>
      </c>
      <c r="C28" s="335" t="s">
        <v>121</v>
      </c>
      <c r="D28" s="336">
        <v>11464</v>
      </c>
      <c r="E28" s="336">
        <v>67061</v>
      </c>
      <c r="F28" s="336">
        <v>12557</v>
      </c>
      <c r="G28" s="336">
        <v>73223</v>
      </c>
      <c r="H28" s="336">
        <v>13707</v>
      </c>
      <c r="I28" s="336">
        <v>79352</v>
      </c>
      <c r="J28" s="336">
        <v>13149</v>
      </c>
      <c r="K28" s="336">
        <v>76680</v>
      </c>
      <c r="L28" s="336">
        <v>13567</v>
      </c>
      <c r="M28" s="336">
        <v>79310.57</v>
      </c>
      <c r="N28" s="336">
        <v>12546</v>
      </c>
      <c r="O28" s="336">
        <v>73375.77</v>
      </c>
      <c r="P28" s="336">
        <v>15066</v>
      </c>
      <c r="Q28" s="320">
        <v>90316.34</v>
      </c>
      <c r="R28" s="320">
        <f>1806+13132</f>
        <v>14938</v>
      </c>
      <c r="S28" s="320">
        <f>10089.59+78806.19</f>
        <v>88895.78</v>
      </c>
      <c r="T28" s="185">
        <f>14225</f>
        <v>14225</v>
      </c>
      <c r="U28" s="186">
        <f>84494.17</f>
        <v>84494.17</v>
      </c>
      <c r="V28" s="185">
        <v>12965</v>
      </c>
      <c r="W28" s="186">
        <v>76044.58</v>
      </c>
      <c r="X28" s="321">
        <v>8221</v>
      </c>
      <c r="Y28" s="321">
        <v>45545.36</v>
      </c>
      <c r="Z28" s="185">
        <v>8675</v>
      </c>
      <c r="AA28" s="186">
        <v>47538.16</v>
      </c>
      <c r="AB28" s="187">
        <f t="shared" si="0"/>
        <v>151080</v>
      </c>
      <c r="AC28" s="322">
        <f t="shared" si="1"/>
        <v>881836.73</v>
      </c>
      <c r="AD28" s="323">
        <f t="shared" si="2"/>
        <v>5.80537634408597</v>
      </c>
      <c r="AE28" s="324">
        <f t="shared" si="3"/>
        <v>15.3103655913978</v>
      </c>
      <c r="AF28" s="337">
        <f>AB28/SUM($AB$28:$AB$40)</f>
        <v>0.325634259430728</v>
      </c>
      <c r="AG28" s="338">
        <f>AC28/SUM($AC$28:$AC$40)</f>
        <v>0.400835737247582</v>
      </c>
      <c r="AH28" s="195">
        <f>AG28+AG29</f>
        <v>0.42454137901605</v>
      </c>
      <c r="AI28" s="195"/>
      <c r="AJ28" s="195">
        <f>AG31</f>
        <v>0.110226527395095</v>
      </c>
      <c r="AK28" s="195">
        <f>AG38+AG37</f>
        <v>0.151875957661146</v>
      </c>
      <c r="AL28" s="18"/>
      <c r="AM28" s="18"/>
      <c r="AN28" s="18"/>
      <c r="AO28" s="18"/>
    </row>
    <row r="29" s="28" customFormat="1" customHeight="1" spans="1:41">
      <c r="A29" s="182"/>
      <c r="B29" s="208"/>
      <c r="C29" s="170" t="s">
        <v>122</v>
      </c>
      <c r="D29" s="339"/>
      <c r="E29" s="339"/>
      <c r="F29" s="339"/>
      <c r="G29" s="339"/>
      <c r="H29" s="339"/>
      <c r="I29" s="339"/>
      <c r="J29" s="339"/>
      <c r="K29" s="339"/>
      <c r="L29" s="339"/>
      <c r="M29" s="339"/>
      <c r="N29" s="339"/>
      <c r="O29" s="339"/>
      <c r="P29" s="339"/>
      <c r="Q29" s="9"/>
      <c r="R29" s="9"/>
      <c r="S29" s="9"/>
      <c r="T29" s="171"/>
      <c r="U29" s="191"/>
      <c r="V29" s="171"/>
      <c r="W29" s="191"/>
      <c r="X29" s="326">
        <v>3540</v>
      </c>
      <c r="Y29" s="326">
        <v>25072.65</v>
      </c>
      <c r="Z29" s="171">
        <v>4030</v>
      </c>
      <c r="AA29" s="191">
        <v>27079.65</v>
      </c>
      <c r="AB29" s="172">
        <f t="shared" si="0"/>
        <v>7570</v>
      </c>
      <c r="AC29" s="303">
        <f t="shared" si="1"/>
        <v>52152.3</v>
      </c>
      <c r="AD29" s="304">
        <f t="shared" si="2"/>
        <v>12</v>
      </c>
      <c r="AE29" s="305">
        <f t="shared" si="3"/>
        <v>37.7820967741936</v>
      </c>
      <c r="AF29" s="340">
        <f t="shared" ref="AF29:AF40" si="8">AB29/SUM($AB$28:$AB$40)</f>
        <v>0.0163161989931865</v>
      </c>
      <c r="AG29" s="275">
        <f t="shared" ref="AG29:AG40" si="9">AC29/SUM($AC$28:$AC$40)</f>
        <v>0.0237056417684678</v>
      </c>
      <c r="AH29" s="195"/>
      <c r="AI29" s="195"/>
      <c r="AJ29" s="195"/>
      <c r="AK29" s="195"/>
      <c r="AL29" s="18"/>
      <c r="AM29" s="18"/>
      <c r="AN29" s="18"/>
      <c r="AO29" s="18"/>
    </row>
    <row r="30" s="28" customFormat="1" customHeight="1" spans="1:41">
      <c r="A30" s="182"/>
      <c r="B30" s="208"/>
      <c r="C30" s="196" t="s">
        <v>120</v>
      </c>
      <c r="D30" s="339">
        <v>9817</v>
      </c>
      <c r="E30" s="339">
        <v>36888.5</v>
      </c>
      <c r="F30" s="339">
        <v>9948</v>
      </c>
      <c r="G30" s="339">
        <v>35944.5</v>
      </c>
      <c r="H30" s="339">
        <v>11150</v>
      </c>
      <c r="I30" s="339">
        <v>42136.5</v>
      </c>
      <c r="J30" s="339">
        <v>10885</v>
      </c>
      <c r="K30" s="339">
        <v>42790.5</v>
      </c>
      <c r="L30" s="339">
        <v>10704</v>
      </c>
      <c r="M30" s="339">
        <v>42220.5</v>
      </c>
      <c r="N30" s="339">
        <v>11113</v>
      </c>
      <c r="O30" s="339">
        <v>43218.74</v>
      </c>
      <c r="P30" s="339">
        <v>14056</v>
      </c>
      <c r="Q30" s="9">
        <v>56339</v>
      </c>
      <c r="R30" s="9">
        <v>13894</v>
      </c>
      <c r="S30" s="9">
        <v>54641.3</v>
      </c>
      <c r="T30" s="171">
        <f>13601</f>
        <v>13601</v>
      </c>
      <c r="U30" s="191">
        <f>51987.31</f>
        <v>51987.31</v>
      </c>
      <c r="V30" s="171">
        <v>13000</v>
      </c>
      <c r="W30" s="191">
        <v>51110.2</v>
      </c>
      <c r="X30" s="326">
        <v>11938</v>
      </c>
      <c r="Y30" s="326">
        <v>37744.78</v>
      </c>
      <c r="Z30" s="171">
        <v>13745</v>
      </c>
      <c r="AA30" s="191">
        <v>43249.2</v>
      </c>
      <c r="AB30" s="172">
        <f t="shared" si="0"/>
        <v>143851</v>
      </c>
      <c r="AC30" s="303">
        <f t="shared" si="1"/>
        <v>538271.03</v>
      </c>
      <c r="AD30" s="304">
        <f t="shared" si="2"/>
        <v>45.4537634408602</v>
      </c>
      <c r="AE30" s="307">
        <f t="shared" si="3"/>
        <v>136.976150537634</v>
      </c>
      <c r="AF30" s="337">
        <f t="shared" si="8"/>
        <v>0.310053043773959</v>
      </c>
      <c r="AG30" s="338">
        <f t="shared" si="9"/>
        <v>0.244669174926593</v>
      </c>
      <c r="AH30" s="195"/>
      <c r="AI30" s="195">
        <f>AG30</f>
        <v>0.244669174926593</v>
      </c>
      <c r="AJ30" s="195"/>
      <c r="AK30" s="195"/>
      <c r="AL30" s="18"/>
      <c r="AM30" s="18"/>
      <c r="AN30" s="18"/>
      <c r="AO30" s="18"/>
    </row>
    <row r="31" s="28" customFormat="1" customHeight="1" spans="1:41">
      <c r="A31" s="182"/>
      <c r="B31" s="208"/>
      <c r="C31" s="170" t="s">
        <v>139</v>
      </c>
      <c r="D31" s="339">
        <v>7096</v>
      </c>
      <c r="E31" s="339">
        <v>17666.5</v>
      </c>
      <c r="F31" s="339">
        <v>7087</v>
      </c>
      <c r="G31" s="339">
        <v>17607.5</v>
      </c>
      <c r="H31" s="339">
        <v>7738</v>
      </c>
      <c r="I31" s="339">
        <v>19221.5</v>
      </c>
      <c r="J31" s="339">
        <v>7465</v>
      </c>
      <c r="K31" s="339">
        <v>19073</v>
      </c>
      <c r="L31" s="339">
        <v>7386</v>
      </c>
      <c r="M31" s="339">
        <v>19234.47</v>
      </c>
      <c r="N31" s="339">
        <v>6985</v>
      </c>
      <c r="O31" s="339">
        <v>18307.27</v>
      </c>
      <c r="P31" s="339">
        <v>8905</v>
      </c>
      <c r="Q31" s="9">
        <v>24230.13</v>
      </c>
      <c r="R31" s="9">
        <v>8690</v>
      </c>
      <c r="S31" s="9">
        <v>23425.5</v>
      </c>
      <c r="T31" s="171">
        <f>8322</f>
        <v>8322</v>
      </c>
      <c r="U31" s="191">
        <f>21297.1</f>
        <v>21297.1</v>
      </c>
      <c r="V31" s="171">
        <v>8210</v>
      </c>
      <c r="W31" s="191">
        <v>20779.12</v>
      </c>
      <c r="X31" s="326">
        <v>7885</v>
      </c>
      <c r="Y31" s="326">
        <v>19827.9</v>
      </c>
      <c r="Z31" s="171">
        <v>8853</v>
      </c>
      <c r="AA31" s="191">
        <v>21827.85</v>
      </c>
      <c r="AB31" s="172">
        <f t="shared" si="0"/>
        <v>94622</v>
      </c>
      <c r="AC31" s="303">
        <f t="shared" si="1"/>
        <v>242497.84</v>
      </c>
      <c r="AD31" s="304">
        <f t="shared" si="2"/>
        <v>22.747311827957</v>
      </c>
      <c r="AE31" s="305">
        <f t="shared" si="3"/>
        <v>43.194193548387</v>
      </c>
      <c r="AF31" s="341">
        <f t="shared" si="8"/>
        <v>0.203946021285771</v>
      </c>
      <c r="AG31" s="278">
        <f t="shared" si="9"/>
        <v>0.110226527395095</v>
      </c>
      <c r="AH31" s="195"/>
      <c r="AI31" s="195"/>
      <c r="AJ31" s="195"/>
      <c r="AK31" s="195"/>
      <c r="AL31" s="18"/>
      <c r="AM31" s="18"/>
      <c r="AN31" s="18"/>
      <c r="AO31" s="18"/>
    </row>
    <row r="32" s="28" customFormat="1" customHeight="1" spans="1:41">
      <c r="A32" s="182"/>
      <c r="B32" s="208"/>
      <c r="C32" s="170" t="s">
        <v>140</v>
      </c>
      <c r="D32" s="339">
        <v>128</v>
      </c>
      <c r="E32" s="339">
        <v>384</v>
      </c>
      <c r="F32" s="302">
        <v>123</v>
      </c>
      <c r="G32" s="9">
        <v>369</v>
      </c>
      <c r="H32" s="302">
        <v>155</v>
      </c>
      <c r="I32" s="9">
        <v>465</v>
      </c>
      <c r="J32" s="302">
        <v>152</v>
      </c>
      <c r="K32" s="9">
        <v>456</v>
      </c>
      <c r="L32" s="302">
        <v>87</v>
      </c>
      <c r="M32" s="9">
        <v>261</v>
      </c>
      <c r="N32" s="339"/>
      <c r="O32" s="339"/>
      <c r="P32" s="339"/>
      <c r="Q32" s="9"/>
      <c r="R32" s="9"/>
      <c r="S32" s="9"/>
      <c r="T32" s="171"/>
      <c r="U32" s="191"/>
      <c r="V32" s="171"/>
      <c r="W32" s="191"/>
      <c r="X32" s="326">
        <v>0</v>
      </c>
      <c r="Y32" s="326">
        <v>0</v>
      </c>
      <c r="Z32" s="171">
        <v>0</v>
      </c>
      <c r="AA32" s="191">
        <v>0</v>
      </c>
      <c r="AB32" s="172">
        <f t="shared" si="0"/>
        <v>645</v>
      </c>
      <c r="AC32" s="303">
        <f t="shared" si="1"/>
        <v>1935</v>
      </c>
      <c r="AD32" s="304">
        <f t="shared" si="2"/>
        <v>0</v>
      </c>
      <c r="AE32" s="305">
        <f t="shared" si="3"/>
        <v>0</v>
      </c>
      <c r="AF32" s="340">
        <f t="shared" si="8"/>
        <v>0.0013902177477682</v>
      </c>
      <c r="AG32" s="275">
        <f t="shared" si="9"/>
        <v>0.000879547341574297</v>
      </c>
      <c r="AH32" s="195"/>
      <c r="AI32" s="195"/>
      <c r="AJ32" s="195"/>
      <c r="AK32" s="195"/>
      <c r="AL32" s="18"/>
      <c r="AM32" s="18"/>
      <c r="AN32" s="18"/>
      <c r="AO32" s="18"/>
    </row>
    <row r="33" s="28" customFormat="1" customHeight="1" spans="1:46">
      <c r="A33" s="182"/>
      <c r="B33" s="208"/>
      <c r="C33" s="170" t="s">
        <v>129</v>
      </c>
      <c r="D33" s="339">
        <v>327</v>
      </c>
      <c r="E33" s="339">
        <v>332</v>
      </c>
      <c r="F33" s="339">
        <v>351</v>
      </c>
      <c r="G33" s="339">
        <v>505.5</v>
      </c>
      <c r="H33" s="339">
        <v>581</v>
      </c>
      <c r="I33" s="339">
        <v>801.5</v>
      </c>
      <c r="J33" s="339">
        <v>590</v>
      </c>
      <c r="K33" s="339">
        <v>570.5</v>
      </c>
      <c r="L33" s="339">
        <v>613</v>
      </c>
      <c r="M33" s="339">
        <v>775</v>
      </c>
      <c r="N33" s="339">
        <v>643</v>
      </c>
      <c r="O33" s="339">
        <v>737.34</v>
      </c>
      <c r="P33" s="339">
        <v>686</v>
      </c>
      <c r="Q33" s="9">
        <v>730.3</v>
      </c>
      <c r="R33" s="302">
        <v>618</v>
      </c>
      <c r="S33" s="9">
        <v>904.28</v>
      </c>
      <c r="T33" s="171">
        <f>604</f>
        <v>604</v>
      </c>
      <c r="U33" s="191">
        <f>1012.76</f>
        <v>1012.76</v>
      </c>
      <c r="V33" s="171">
        <v>407</v>
      </c>
      <c r="W33" s="191">
        <v>696.34</v>
      </c>
      <c r="X33" s="326">
        <v>889</v>
      </c>
      <c r="Y33" s="326">
        <v>1243.7</v>
      </c>
      <c r="Z33" s="171">
        <v>737</v>
      </c>
      <c r="AA33" s="191">
        <v>1375.26</v>
      </c>
      <c r="AB33" s="172">
        <f t="shared" si="0"/>
        <v>7046</v>
      </c>
      <c r="AC33" s="303">
        <f t="shared" si="1"/>
        <v>9684.48</v>
      </c>
      <c r="AD33" s="304">
        <f t="shared" si="2"/>
        <v>-5.85913978494624</v>
      </c>
      <c r="AE33" s="305">
        <f t="shared" si="3"/>
        <v>2.90655913978494</v>
      </c>
      <c r="AF33" s="340">
        <f t="shared" si="8"/>
        <v>0.0151867817841469</v>
      </c>
      <c r="AG33" s="275">
        <f t="shared" si="9"/>
        <v>0.00440204580802555</v>
      </c>
      <c r="AH33" s="195"/>
      <c r="AI33" s="195"/>
      <c r="AJ33" s="195"/>
      <c r="AK33" s="195"/>
      <c r="AL33" s="18"/>
      <c r="AM33" s="18"/>
      <c r="AN33" s="18"/>
      <c r="AO33" s="18"/>
    </row>
    <row r="34" s="28" customFormat="1" customHeight="1" spans="1:46">
      <c r="A34" s="182"/>
      <c r="B34" s="208"/>
      <c r="C34" s="196" t="s">
        <v>141</v>
      </c>
      <c r="D34" s="342"/>
      <c r="E34" s="342"/>
      <c r="F34" s="342"/>
      <c r="G34" s="342"/>
      <c r="H34" s="342"/>
      <c r="I34" s="342"/>
      <c r="J34" s="339">
        <v>191</v>
      </c>
      <c r="K34" s="339">
        <v>1835.2</v>
      </c>
      <c r="L34" s="339">
        <v>560</v>
      </c>
      <c r="M34" s="339">
        <v>6348.65</v>
      </c>
      <c r="N34" s="339">
        <v>509</v>
      </c>
      <c r="O34" s="339">
        <v>4785.32</v>
      </c>
      <c r="P34" s="339">
        <v>669</v>
      </c>
      <c r="Q34" s="9">
        <v>7629.82</v>
      </c>
      <c r="R34" s="302">
        <v>474</v>
      </c>
      <c r="S34" s="9">
        <v>5445.45</v>
      </c>
      <c r="T34" s="171">
        <f>26+280</f>
        <v>306</v>
      </c>
      <c r="U34" s="191">
        <f>260+3084.12</f>
        <v>3344.12</v>
      </c>
      <c r="V34" s="171">
        <v>304</v>
      </c>
      <c r="W34" s="191">
        <v>3401.49</v>
      </c>
      <c r="X34" s="326">
        <v>846</v>
      </c>
      <c r="Y34" s="326">
        <v>7391.37</v>
      </c>
      <c r="Z34" s="171">
        <v>2451</v>
      </c>
      <c r="AA34" s="191">
        <v>20773.47</v>
      </c>
      <c r="AB34" s="172">
        <f t="shared" si="0"/>
        <v>6310</v>
      </c>
      <c r="AC34" s="303">
        <f t="shared" si="1"/>
        <v>60954.89</v>
      </c>
      <c r="AD34" s="304">
        <f t="shared" si="2"/>
        <v>50.8645161290323</v>
      </c>
      <c r="AE34" s="307">
        <f t="shared" si="3"/>
        <v>423.732935483871</v>
      </c>
      <c r="AF34" s="340">
        <f t="shared" si="8"/>
        <v>0.0136004247882439</v>
      </c>
      <c r="AG34" s="275">
        <f t="shared" si="9"/>
        <v>0.0277068276255575</v>
      </c>
      <c r="AH34" s="195"/>
      <c r="AI34" s="195"/>
      <c r="AJ34" s="195"/>
      <c r="AK34" s="195"/>
      <c r="AL34" s="18"/>
      <c r="AM34" s="18"/>
      <c r="AN34" s="18"/>
      <c r="AO34" s="18"/>
    </row>
    <row r="35" s="28" customFormat="1" customHeight="1" spans="1:46">
      <c r="A35" s="182"/>
      <c r="B35" s="208"/>
      <c r="C35" s="170" t="s">
        <v>142</v>
      </c>
      <c r="D35" s="342"/>
      <c r="E35" s="342"/>
      <c r="F35" s="342"/>
      <c r="G35" s="342"/>
      <c r="H35" s="342"/>
      <c r="I35" s="342"/>
      <c r="J35" s="342"/>
      <c r="K35" s="342"/>
      <c r="L35" s="342"/>
      <c r="M35" s="342"/>
      <c r="N35" s="339">
        <v>2</v>
      </c>
      <c r="O35" s="339">
        <v>38</v>
      </c>
      <c r="P35" s="339">
        <v>5</v>
      </c>
      <c r="Q35" s="9">
        <v>95</v>
      </c>
      <c r="R35" s="302">
        <v>5</v>
      </c>
      <c r="S35" s="9">
        <v>95</v>
      </c>
      <c r="T35" s="171">
        <f>1590</f>
        <v>1590</v>
      </c>
      <c r="U35" s="191">
        <f>3299.78</f>
        <v>3299.78</v>
      </c>
      <c r="V35" s="171">
        <v>1881</v>
      </c>
      <c r="W35" s="191">
        <v>3938.77</v>
      </c>
      <c r="X35" s="326">
        <v>0</v>
      </c>
      <c r="Y35" s="326">
        <v>0</v>
      </c>
      <c r="Z35" s="171">
        <v>0</v>
      </c>
      <c r="AA35" s="191">
        <v>0</v>
      </c>
      <c r="AB35" s="172">
        <f t="shared" si="0"/>
        <v>3483</v>
      </c>
      <c r="AC35" s="303">
        <f t="shared" si="1"/>
        <v>7466.55</v>
      </c>
      <c r="AD35" s="304">
        <f t="shared" si="2"/>
        <v>0</v>
      </c>
      <c r="AE35" s="305">
        <f t="shared" si="3"/>
        <v>0</v>
      </c>
      <c r="AF35" s="340">
        <f t="shared" si="8"/>
        <v>0.00750717583794828</v>
      </c>
      <c r="AG35" s="275">
        <f t="shared" si="9"/>
        <v>0.00339389364508091</v>
      </c>
      <c r="AH35" s="195"/>
      <c r="AI35" s="195"/>
      <c r="AJ35" s="195"/>
      <c r="AK35" s="195"/>
      <c r="AL35" s="18"/>
      <c r="AM35" s="18"/>
      <c r="AN35" s="18"/>
      <c r="AO35" s="18"/>
    </row>
    <row r="36" s="28" customFormat="1" customHeight="1" spans="1:46">
      <c r="A36" s="182"/>
      <c r="B36" s="208"/>
      <c r="C36" s="170" t="s">
        <v>143</v>
      </c>
      <c r="D36" s="339">
        <v>49</v>
      </c>
      <c r="E36" s="339">
        <v>980</v>
      </c>
      <c r="F36" s="302">
        <v>60</v>
      </c>
      <c r="G36" s="9">
        <v>1200</v>
      </c>
      <c r="H36" s="342">
        <v>613</v>
      </c>
      <c r="I36" s="342">
        <v>7641</v>
      </c>
      <c r="J36" s="342">
        <v>491</v>
      </c>
      <c r="K36" s="342">
        <v>6844</v>
      </c>
      <c r="L36" s="342">
        <v>366</v>
      </c>
      <c r="M36" s="343">
        <v>5285.58</v>
      </c>
      <c r="N36" s="339">
        <v>375</v>
      </c>
      <c r="O36" s="344">
        <v>5795</v>
      </c>
      <c r="P36" s="339">
        <v>301</v>
      </c>
      <c r="Q36" s="9">
        <v>3803.5</v>
      </c>
      <c r="R36" s="302">
        <f>172+88</f>
        <v>260</v>
      </c>
      <c r="S36" s="9">
        <f>3440+396</f>
        <v>3836</v>
      </c>
      <c r="T36" s="171">
        <f>413</f>
        <v>413</v>
      </c>
      <c r="U36" s="191">
        <f>4357.5</f>
        <v>4357.5</v>
      </c>
      <c r="V36" s="171">
        <v>482</v>
      </c>
      <c r="W36" s="191">
        <v>5224.5</v>
      </c>
      <c r="X36" s="326">
        <v>485</v>
      </c>
      <c r="Y36" s="326">
        <v>4935.5</v>
      </c>
      <c r="Z36" s="171">
        <v>429</v>
      </c>
      <c r="AA36" s="191">
        <v>4994</v>
      </c>
      <c r="AB36" s="172">
        <f t="shared" si="0"/>
        <v>4324</v>
      </c>
      <c r="AC36" s="303">
        <f t="shared" si="1"/>
        <v>54896.58</v>
      </c>
      <c r="AD36" s="304">
        <f t="shared" si="2"/>
        <v>-2.32795698924731</v>
      </c>
      <c r="AE36" s="305">
        <f t="shared" si="3"/>
        <v>-3.4198924731183</v>
      </c>
      <c r="AF36" s="340">
        <f t="shared" si="8"/>
        <v>0.00931984735092976</v>
      </c>
      <c r="AG36" s="275">
        <f t="shared" si="9"/>
        <v>0.0249530444447135</v>
      </c>
      <c r="AH36" s="195"/>
      <c r="AI36" s="195"/>
      <c r="AJ36" s="195"/>
      <c r="AK36" s="195"/>
      <c r="AL36" s="18"/>
      <c r="AM36" s="18"/>
      <c r="AN36" s="18"/>
      <c r="AO36" s="18"/>
    </row>
    <row r="37" s="28" customFormat="1" customHeight="1" spans="1:46">
      <c r="A37" s="182"/>
      <c r="B37" s="208"/>
      <c r="C37" s="170" t="s">
        <v>126</v>
      </c>
      <c r="D37" s="342">
        <v>1196</v>
      </c>
      <c r="E37" s="342">
        <v>12713</v>
      </c>
      <c r="F37" s="342">
        <v>1574</v>
      </c>
      <c r="G37" s="342">
        <v>16950</v>
      </c>
      <c r="H37" s="342">
        <v>1558</v>
      </c>
      <c r="I37" s="342">
        <v>16873</v>
      </c>
      <c r="J37" s="342">
        <v>1456</v>
      </c>
      <c r="K37" s="342">
        <v>15011</v>
      </c>
      <c r="L37" s="342">
        <v>1071</v>
      </c>
      <c r="M37" s="343">
        <v>10935.02</v>
      </c>
      <c r="N37" s="342">
        <v>1042</v>
      </c>
      <c r="O37" s="343">
        <v>10739.64</v>
      </c>
      <c r="P37" s="339">
        <v>1096</v>
      </c>
      <c r="Q37" s="339">
        <v>10968.84</v>
      </c>
      <c r="R37" s="339">
        <f>885+197</f>
        <v>1082</v>
      </c>
      <c r="S37" s="339">
        <f>8876.31+2114.62</f>
        <v>10990.93</v>
      </c>
      <c r="T37" s="171">
        <f>1558</f>
        <v>1558</v>
      </c>
      <c r="U37" s="191">
        <f>14820.87</f>
        <v>14820.87</v>
      </c>
      <c r="V37" s="171">
        <v>1523</v>
      </c>
      <c r="W37" s="191">
        <v>14330.35</v>
      </c>
      <c r="X37" s="326">
        <v>1607</v>
      </c>
      <c r="Y37" s="326">
        <v>15139.3</v>
      </c>
      <c r="Z37" s="171">
        <v>2044</v>
      </c>
      <c r="AA37" s="191">
        <v>19537.33</v>
      </c>
      <c r="AB37" s="172">
        <f t="shared" si="0"/>
        <v>16807</v>
      </c>
      <c r="AC37" s="303">
        <f t="shared" si="1"/>
        <v>169009.28</v>
      </c>
      <c r="AD37" s="304">
        <f t="shared" ref="AD37:AD68" si="10">Z37/31-X37/30</f>
        <v>12.3688172043011</v>
      </c>
      <c r="AE37" s="305">
        <f t="shared" ref="AE37:AE68" si="11">AA37/31-Y37/30</f>
        <v>125.59311827957</v>
      </c>
      <c r="AF37" s="341">
        <f t="shared" si="8"/>
        <v>0.036225410367039</v>
      </c>
      <c r="AG37" s="278">
        <f t="shared" si="9"/>
        <v>0.0768225648193209</v>
      </c>
      <c r="AH37" s="195"/>
      <c r="AI37" s="195"/>
      <c r="AJ37" s="195"/>
      <c r="AK37" s="195"/>
      <c r="AL37" s="18"/>
      <c r="AM37" s="18"/>
      <c r="AN37" s="18"/>
      <c r="AO37" s="18"/>
    </row>
    <row r="38" s="28" customFormat="1" customHeight="1" spans="1:46">
      <c r="A38" s="182"/>
      <c r="B38" s="208"/>
      <c r="C38" s="196" t="s">
        <v>130</v>
      </c>
      <c r="D38" s="302"/>
      <c r="E38" s="9"/>
      <c r="F38" s="302"/>
      <c r="G38" s="9"/>
      <c r="H38" s="302"/>
      <c r="I38" s="9"/>
      <c r="J38" s="302"/>
      <c r="K38" s="9"/>
      <c r="L38" s="302"/>
      <c r="M38" s="329"/>
      <c r="N38" s="302"/>
      <c r="O38" s="329"/>
      <c r="P38" s="302"/>
      <c r="Q38" s="9"/>
      <c r="R38" s="302">
        <v>160</v>
      </c>
      <c r="S38" s="9">
        <v>2441</v>
      </c>
      <c r="T38" s="171">
        <f>2552</f>
        <v>2552</v>
      </c>
      <c r="U38" s="191">
        <f>34777.3</f>
        <v>34777.3</v>
      </c>
      <c r="V38" s="171">
        <v>2643</v>
      </c>
      <c r="W38" s="191">
        <v>35299.87</v>
      </c>
      <c r="X38" s="326">
        <v>2813</v>
      </c>
      <c r="Y38" s="326">
        <v>37446.65</v>
      </c>
      <c r="Z38" s="171">
        <v>4159</v>
      </c>
      <c r="AA38" s="191">
        <v>55152.29</v>
      </c>
      <c r="AB38" s="172">
        <f t="shared" si="0"/>
        <v>12327</v>
      </c>
      <c r="AC38" s="303">
        <f t="shared" si="1"/>
        <v>165117.11</v>
      </c>
      <c r="AD38" s="304">
        <f t="shared" si="10"/>
        <v>40.394623655914</v>
      </c>
      <c r="AE38" s="307">
        <f t="shared" si="11"/>
        <v>530.884462365591</v>
      </c>
      <c r="AF38" s="341">
        <f t="shared" si="8"/>
        <v>0.0265693243050211</v>
      </c>
      <c r="AG38" s="278">
        <f t="shared" si="9"/>
        <v>0.0750533928418247</v>
      </c>
      <c r="AH38" s="195"/>
      <c r="AI38" s="195"/>
      <c r="AJ38" s="195"/>
      <c r="AK38" s="195"/>
      <c r="AL38" s="18"/>
      <c r="AM38" s="18"/>
      <c r="AN38" s="18"/>
      <c r="AO38" s="18"/>
      <c r="AP38" s="18"/>
      <c r="AQ38" s="18"/>
      <c r="AR38" s="18"/>
      <c r="AS38" s="18"/>
      <c r="AT38" s="18"/>
    </row>
    <row r="39" s="28" customFormat="1" customHeight="1" spans="1:46">
      <c r="A39" s="182"/>
      <c r="B39" s="208"/>
      <c r="C39" s="170" t="s">
        <v>144</v>
      </c>
      <c r="D39" s="302"/>
      <c r="E39" s="9"/>
      <c r="F39" s="302"/>
      <c r="G39" s="9"/>
      <c r="H39" s="302"/>
      <c r="I39" s="9"/>
      <c r="J39" s="302"/>
      <c r="K39" s="9"/>
      <c r="L39" s="302"/>
      <c r="M39" s="329"/>
      <c r="N39" s="302"/>
      <c r="O39" s="329"/>
      <c r="P39" s="302"/>
      <c r="Q39" s="9"/>
      <c r="R39" s="302"/>
      <c r="S39" s="9"/>
      <c r="T39" s="171">
        <f>3449</f>
        <v>3449</v>
      </c>
      <c r="U39" s="191">
        <f>336.22</f>
        <v>336.22</v>
      </c>
      <c r="V39" s="171">
        <v>4191</v>
      </c>
      <c r="W39" s="191">
        <v>517.95</v>
      </c>
      <c r="X39" s="326">
        <v>3573</v>
      </c>
      <c r="Y39" s="326">
        <v>224.82</v>
      </c>
      <c r="Z39" s="171">
        <v>4678</v>
      </c>
      <c r="AA39" s="191">
        <v>315.22</v>
      </c>
      <c r="AB39" s="172">
        <f t="shared" si="0"/>
        <v>15891</v>
      </c>
      <c r="AC39" s="303">
        <f t="shared" si="1"/>
        <v>1394.21</v>
      </c>
      <c r="AD39" s="304">
        <f t="shared" si="10"/>
        <v>31.8032258064516</v>
      </c>
      <c r="AE39" s="305">
        <f t="shared" si="11"/>
        <v>2.6743870967742</v>
      </c>
      <c r="AF39" s="340">
        <f t="shared" si="8"/>
        <v>0.0342510856275728</v>
      </c>
      <c r="AG39" s="275">
        <f t="shared" si="9"/>
        <v>0.000633733177827545</v>
      </c>
      <c r="AH39" s="195"/>
      <c r="AI39" s="195"/>
      <c r="AJ39" s="195"/>
      <c r="AK39" s="195"/>
      <c r="AL39" s="18"/>
      <c r="AM39" s="18"/>
      <c r="AN39" s="18"/>
      <c r="AO39" s="18"/>
      <c r="AP39" s="18"/>
      <c r="AQ39" s="18"/>
      <c r="AR39" s="18"/>
      <c r="AS39" s="18"/>
      <c r="AT39" s="18"/>
    </row>
    <row r="40" s="28" customFormat="1" customHeight="1" spans="1:46">
      <c r="A40" s="182"/>
      <c r="B40" s="345"/>
      <c r="C40" s="346" t="s">
        <v>137</v>
      </c>
      <c r="D40" s="312"/>
      <c r="E40" s="313"/>
      <c r="F40" s="312"/>
      <c r="G40" s="313"/>
      <c r="H40" s="312"/>
      <c r="I40" s="313"/>
      <c r="J40" s="312"/>
      <c r="K40" s="313"/>
      <c r="L40" s="312"/>
      <c r="M40" s="347"/>
      <c r="N40" s="312"/>
      <c r="O40" s="347"/>
      <c r="P40" s="312"/>
      <c r="Q40" s="313"/>
      <c r="R40" s="312"/>
      <c r="S40" s="313"/>
      <c r="T40" s="199"/>
      <c r="U40" s="200">
        <v>2249.85</v>
      </c>
      <c r="V40" s="199"/>
      <c r="W40" s="200">
        <v>2973.37</v>
      </c>
      <c r="X40" s="332">
        <f>T40+AJ40</f>
        <v>0.096831203231855</v>
      </c>
      <c r="Y40" s="332">
        <v>3016.84</v>
      </c>
      <c r="Z40" s="199"/>
      <c r="AA40" s="200">
        <v>6539.22</v>
      </c>
      <c r="AB40" s="201">
        <f t="shared" si="0"/>
        <v>0.096831203231855</v>
      </c>
      <c r="AC40" s="314">
        <f t="shared" si="1"/>
        <v>14779.28</v>
      </c>
      <c r="AD40" s="315">
        <f t="shared" si="10"/>
        <v>-0.00322770677439517</v>
      </c>
      <c r="AE40" s="348">
        <f t="shared" si="11"/>
        <v>110.381247311828</v>
      </c>
      <c r="AF40" s="349">
        <f t="shared" si="8"/>
        <v>2.08707685690968e-7</v>
      </c>
      <c r="AG40" s="350">
        <f t="shared" si="9"/>
        <v>0.00671786895833704</v>
      </c>
      <c r="AH40" s="195"/>
      <c r="AI40" s="195">
        <f>AG44</f>
        <v>0.100184787090787</v>
      </c>
      <c r="AJ40" s="195">
        <f>AG42</f>
        <v>0.096831203231855</v>
      </c>
      <c r="AK40" s="195">
        <f>AG45+AG47</f>
        <v>0.0706363553605615</v>
      </c>
      <c r="AL40" s="18"/>
      <c r="AM40" s="18"/>
      <c r="AN40" s="18"/>
      <c r="AO40" s="18"/>
      <c r="AP40" s="18"/>
      <c r="AQ40" s="18"/>
      <c r="AR40" s="18"/>
      <c r="AS40" s="18"/>
      <c r="AT40" s="18"/>
    </row>
    <row r="41" s="28" customFormat="1" customHeight="1" spans="1:46">
      <c r="A41" s="182"/>
      <c r="B41" s="190" t="s">
        <v>145</v>
      </c>
      <c r="C41" s="226" t="s">
        <v>121</v>
      </c>
      <c r="D41" s="351">
        <v>7618</v>
      </c>
      <c r="E41" s="352">
        <v>41104.37</v>
      </c>
      <c r="F41" s="351">
        <v>7610</v>
      </c>
      <c r="G41" s="352">
        <v>40639.68</v>
      </c>
      <c r="H41" s="351">
        <v>6839</v>
      </c>
      <c r="I41" s="352">
        <v>36883.54</v>
      </c>
      <c r="J41" s="351">
        <v>6134</v>
      </c>
      <c r="K41" s="352">
        <v>33776.88</v>
      </c>
      <c r="L41" s="351">
        <v>5689</v>
      </c>
      <c r="M41" s="352">
        <v>32028.39</v>
      </c>
      <c r="N41" s="351">
        <v>4709</v>
      </c>
      <c r="O41" s="352">
        <v>26519.16</v>
      </c>
      <c r="P41" s="351">
        <v>4920</v>
      </c>
      <c r="Q41" s="352">
        <v>28159.4</v>
      </c>
      <c r="R41" s="351">
        <v>4843</v>
      </c>
      <c r="S41" s="352">
        <v>27246.31</v>
      </c>
      <c r="T41" s="227">
        <f>422+4708</f>
        <v>5130</v>
      </c>
      <c r="U41" s="228">
        <f>1750.34+25639.62</f>
        <v>27389.96</v>
      </c>
      <c r="V41" s="227">
        <f>6177</f>
        <v>6177</v>
      </c>
      <c r="W41" s="228">
        <f>32541.86</f>
        <v>32541.86</v>
      </c>
      <c r="X41" s="353">
        <v>6430</v>
      </c>
      <c r="Y41" s="353">
        <v>33998</v>
      </c>
      <c r="Z41" s="227">
        <v>7204</v>
      </c>
      <c r="AA41" s="228">
        <v>37332.99</v>
      </c>
      <c r="AB41" s="229">
        <f t="shared" si="0"/>
        <v>73303</v>
      </c>
      <c r="AC41" s="354">
        <f t="shared" si="1"/>
        <v>397620.54</v>
      </c>
      <c r="AD41" s="355">
        <f t="shared" si="10"/>
        <v>18.0537634408602</v>
      </c>
      <c r="AE41" s="356">
        <f t="shared" si="11"/>
        <v>71.0233333333333</v>
      </c>
      <c r="AF41" s="325">
        <f>AB41/SUM($AB$41:$AB$52)</f>
        <v>0.337913962236318</v>
      </c>
      <c r="AG41" s="217">
        <f>AC41/SUM($AC$41:$AC$52)</f>
        <v>0.383441931027992</v>
      </c>
      <c r="AH41" s="195">
        <f>AG41+AG43+AG48</f>
        <v>0.578361317876613</v>
      </c>
      <c r="AI41" s="195"/>
      <c r="AJ41" s="195"/>
      <c r="AK41" s="195"/>
      <c r="AL41" s="18"/>
      <c r="AM41" s="18"/>
      <c r="AN41" s="18"/>
      <c r="AO41" s="18"/>
      <c r="AP41" s="18"/>
      <c r="AQ41" s="18"/>
      <c r="AR41" s="18"/>
      <c r="AS41" s="18"/>
      <c r="AT41" s="18"/>
    </row>
    <row r="42" s="28" customFormat="1" customHeight="1" spans="1:46">
      <c r="A42" s="182"/>
      <c r="B42" s="190"/>
      <c r="C42" s="170" t="s">
        <v>146</v>
      </c>
      <c r="D42" s="302">
        <v>4653</v>
      </c>
      <c r="E42" s="9">
        <v>10862.7</v>
      </c>
      <c r="F42" s="302">
        <v>3806</v>
      </c>
      <c r="G42" s="9">
        <v>9032.7</v>
      </c>
      <c r="H42" s="302">
        <v>3391</v>
      </c>
      <c r="I42" s="9">
        <v>8057.36</v>
      </c>
      <c r="J42" s="302">
        <v>3329</v>
      </c>
      <c r="K42" s="9">
        <v>8084.82</v>
      </c>
      <c r="L42" s="302">
        <v>3003</v>
      </c>
      <c r="M42" s="9">
        <v>7435.82</v>
      </c>
      <c r="N42" s="302">
        <v>2497</v>
      </c>
      <c r="O42" s="9">
        <v>6241.75</v>
      </c>
      <c r="P42" s="302">
        <v>2732</v>
      </c>
      <c r="Q42" s="9">
        <v>6896.93</v>
      </c>
      <c r="R42" s="302">
        <v>2859</v>
      </c>
      <c r="S42" s="9">
        <v>7066.87</v>
      </c>
      <c r="T42" s="171">
        <f>2848</f>
        <v>2848</v>
      </c>
      <c r="U42" s="191">
        <f>6931.83</f>
        <v>6931.83</v>
      </c>
      <c r="V42" s="171">
        <f>3617</f>
        <v>3617</v>
      </c>
      <c r="W42" s="191">
        <f>8849.06</f>
        <v>8849.06</v>
      </c>
      <c r="X42" s="326">
        <v>4009</v>
      </c>
      <c r="Y42" s="326">
        <v>9697.69</v>
      </c>
      <c r="Z42" s="171">
        <v>4820</v>
      </c>
      <c r="AA42" s="191">
        <v>11254.22</v>
      </c>
      <c r="AB42" s="172">
        <f t="shared" si="0"/>
        <v>41564</v>
      </c>
      <c r="AC42" s="303">
        <f t="shared" si="1"/>
        <v>100411.75</v>
      </c>
      <c r="AD42" s="304">
        <f t="shared" si="10"/>
        <v>21.8505376344086</v>
      </c>
      <c r="AE42" s="305">
        <f t="shared" si="11"/>
        <v>39.7830215053763</v>
      </c>
      <c r="AF42" s="310">
        <f t="shared" ref="AF42:AF52" si="12">AB42/SUM($AB$41:$AB$52)</f>
        <v>0.191602743767517</v>
      </c>
      <c r="AG42" s="220">
        <f t="shared" ref="AG42:AG52" si="13">AC42/SUM($AC$41:$AC$52)</f>
        <v>0.096831203231855</v>
      </c>
      <c r="AH42" s="157"/>
      <c r="AI42" s="157"/>
      <c r="AJ42" s="157"/>
      <c r="AK42" s="157"/>
    </row>
    <row r="43" s="28" customFormat="1" customHeight="1" spans="1:46">
      <c r="A43" s="182"/>
      <c r="B43" s="190"/>
      <c r="C43" s="170" t="s">
        <v>147</v>
      </c>
      <c r="D43" s="302">
        <v>2884</v>
      </c>
      <c r="E43" s="9">
        <v>19609.2</v>
      </c>
      <c r="F43" s="302">
        <v>2608</v>
      </c>
      <c r="G43" s="9">
        <v>17942.52</v>
      </c>
      <c r="H43" s="234">
        <v>2532</v>
      </c>
      <c r="I43" s="234">
        <v>16879.91</v>
      </c>
      <c r="J43" s="302">
        <v>1748</v>
      </c>
      <c r="K43" s="9">
        <v>11151.32</v>
      </c>
      <c r="L43" s="302">
        <v>1937</v>
      </c>
      <c r="M43" s="9">
        <v>12921.34</v>
      </c>
      <c r="N43" s="302">
        <v>1858</v>
      </c>
      <c r="O43" s="9">
        <v>12483.15</v>
      </c>
      <c r="P43" s="302">
        <v>1811</v>
      </c>
      <c r="Q43" s="9">
        <v>12841.48</v>
      </c>
      <c r="R43" s="302">
        <v>1960</v>
      </c>
      <c r="S43" s="9">
        <v>13635.19</v>
      </c>
      <c r="T43" s="171">
        <f>2370</f>
        <v>2370</v>
      </c>
      <c r="U43" s="191">
        <f>15791.01</f>
        <v>15791.01</v>
      </c>
      <c r="V43" s="171">
        <f>333+2454</f>
        <v>2787</v>
      </c>
      <c r="W43" s="191">
        <f>2177.61+16382.81</f>
        <v>18560.42</v>
      </c>
      <c r="X43" s="326">
        <v>3092</v>
      </c>
      <c r="Y43" s="326">
        <v>20721.1</v>
      </c>
      <c r="Z43" s="171">
        <v>3612</v>
      </c>
      <c r="AA43" s="191">
        <v>22678.7</v>
      </c>
      <c r="AB43" s="172">
        <f t="shared" si="0"/>
        <v>29199</v>
      </c>
      <c r="AC43" s="303">
        <f t="shared" si="1"/>
        <v>195215.34</v>
      </c>
      <c r="AD43" s="304">
        <f t="shared" si="10"/>
        <v>13.4494623655914</v>
      </c>
      <c r="AE43" s="305">
        <f t="shared" si="11"/>
        <v>40.8676344086023</v>
      </c>
      <c r="AF43" s="310">
        <f t="shared" si="12"/>
        <v>0.134602264345774</v>
      </c>
      <c r="AG43" s="220">
        <f t="shared" si="13"/>
        <v>0.18825422584026</v>
      </c>
      <c r="AH43" s="157"/>
      <c r="AI43" s="157"/>
      <c r="AJ43" s="157"/>
      <c r="AK43" s="157"/>
    </row>
    <row r="44" s="28" customFormat="1" customHeight="1" spans="1:46">
      <c r="A44" s="182"/>
      <c r="B44" s="190"/>
      <c r="C44" s="196" t="s">
        <v>120</v>
      </c>
      <c r="D44" s="302">
        <v>1939</v>
      </c>
      <c r="E44" s="9">
        <v>5471.41</v>
      </c>
      <c r="F44" s="302">
        <v>1775</v>
      </c>
      <c r="G44" s="9">
        <v>5622.69</v>
      </c>
      <c r="H44" s="302">
        <v>1976</v>
      </c>
      <c r="I44" s="9">
        <v>6249.34</v>
      </c>
      <c r="J44" s="302">
        <v>2030</v>
      </c>
      <c r="K44" s="9">
        <v>7130.11</v>
      </c>
      <c r="L44" s="302">
        <v>2344</v>
      </c>
      <c r="M44" s="9">
        <v>7348.12</v>
      </c>
      <c r="N44" s="302">
        <v>2524</v>
      </c>
      <c r="O44" s="9">
        <v>7514.42</v>
      </c>
      <c r="P44" s="302">
        <v>2446</v>
      </c>
      <c r="Q44" s="9">
        <v>7785.62</v>
      </c>
      <c r="R44" s="302">
        <v>2749</v>
      </c>
      <c r="S44" s="9">
        <v>9231.58</v>
      </c>
      <c r="T44" s="171">
        <f>3287</f>
        <v>3287</v>
      </c>
      <c r="U44" s="191">
        <f>9889.26</f>
        <v>9889.26</v>
      </c>
      <c r="V44" s="171">
        <f>3836</f>
        <v>3836</v>
      </c>
      <c r="W44" s="191">
        <f>11867.39</f>
        <v>11867.39</v>
      </c>
      <c r="X44" s="326">
        <v>4404</v>
      </c>
      <c r="Y44" s="326">
        <v>10099.16</v>
      </c>
      <c r="Z44" s="171">
        <v>6294</v>
      </c>
      <c r="AA44" s="191">
        <v>15680.24</v>
      </c>
      <c r="AB44" s="172">
        <f t="shared" si="0"/>
        <v>35604</v>
      </c>
      <c r="AC44" s="303">
        <f t="shared" si="1"/>
        <v>103889.34</v>
      </c>
      <c r="AD44" s="304">
        <f t="shared" si="10"/>
        <v>56.2322580645161</v>
      </c>
      <c r="AE44" s="307">
        <f t="shared" si="11"/>
        <v>169.17552688172</v>
      </c>
      <c r="AF44" s="310">
        <f t="shared" si="12"/>
        <v>0.164128189998525</v>
      </c>
      <c r="AG44" s="220">
        <f t="shared" si="13"/>
        <v>0.100184787090787</v>
      </c>
      <c r="AH44" s="157"/>
      <c r="AI44" s="157"/>
      <c r="AJ44" s="157"/>
      <c r="AK44" s="157"/>
    </row>
    <row r="45" s="28" customFormat="1" customHeight="1" spans="1:46">
      <c r="A45" s="182"/>
      <c r="B45" s="190"/>
      <c r="C45" s="170" t="s">
        <v>148</v>
      </c>
      <c r="D45" s="302">
        <v>321</v>
      </c>
      <c r="E45" s="9">
        <v>4798</v>
      </c>
      <c r="F45" s="302">
        <v>54</v>
      </c>
      <c r="G45" s="9">
        <v>770</v>
      </c>
      <c r="H45" s="302">
        <v>79</v>
      </c>
      <c r="I45" s="9">
        <v>1142</v>
      </c>
      <c r="J45" s="171"/>
      <c r="K45" s="171"/>
      <c r="L45" s="302">
        <v>11</v>
      </c>
      <c r="M45" s="9">
        <v>156</v>
      </c>
      <c r="N45" s="171"/>
      <c r="O45" s="328"/>
      <c r="P45" s="171"/>
      <c r="Q45" s="171"/>
      <c r="R45" s="171"/>
      <c r="S45" s="171"/>
      <c r="T45" s="171">
        <f>115</f>
        <v>115</v>
      </c>
      <c r="U45" s="191">
        <f>1949.5</f>
        <v>1949.5</v>
      </c>
      <c r="V45" s="171">
        <f>178</f>
        <v>178</v>
      </c>
      <c r="W45" s="191">
        <f>2974.99</f>
        <v>2974.99</v>
      </c>
      <c r="X45" s="326">
        <v>244</v>
      </c>
      <c r="Y45" s="326">
        <v>4044.49</v>
      </c>
      <c r="Z45" s="171">
        <v>243</v>
      </c>
      <c r="AA45" s="191">
        <v>3830.19</v>
      </c>
      <c r="AB45" s="172">
        <f t="shared" si="0"/>
        <v>1245</v>
      </c>
      <c r="AC45" s="303">
        <f t="shared" si="1"/>
        <v>19665.17</v>
      </c>
      <c r="AD45" s="304">
        <f t="shared" si="10"/>
        <v>-0.294623655913978</v>
      </c>
      <c r="AE45" s="305">
        <f t="shared" si="11"/>
        <v>-11.2618172043011</v>
      </c>
      <c r="AF45" s="309">
        <f t="shared" si="12"/>
        <v>0.00573923145006638</v>
      </c>
      <c r="AG45" s="194">
        <f t="shared" si="13"/>
        <v>0.0189639367191487</v>
      </c>
      <c r="AH45" s="157"/>
      <c r="AI45" s="157"/>
      <c r="AJ45" s="157"/>
      <c r="AK45" s="157"/>
    </row>
    <row r="46" s="28" customFormat="1" customHeight="1" spans="1:46">
      <c r="A46" s="182"/>
      <c r="B46" s="190"/>
      <c r="C46" s="170" t="s">
        <v>149</v>
      </c>
      <c r="D46" s="302">
        <v>62</v>
      </c>
      <c r="E46" s="9">
        <v>62</v>
      </c>
      <c r="F46" s="302">
        <v>94</v>
      </c>
      <c r="G46" s="9">
        <v>94</v>
      </c>
      <c r="H46" s="302">
        <v>74</v>
      </c>
      <c r="I46" s="9">
        <v>74</v>
      </c>
      <c r="J46" s="302">
        <v>127</v>
      </c>
      <c r="K46" s="9">
        <v>137</v>
      </c>
      <c r="L46" s="302">
        <v>108</v>
      </c>
      <c r="M46" s="9">
        <v>314.24</v>
      </c>
      <c r="N46" s="302">
        <v>108</v>
      </c>
      <c r="O46" s="9">
        <v>219.8</v>
      </c>
      <c r="P46" s="302">
        <v>148</v>
      </c>
      <c r="Q46" s="9">
        <v>253.24</v>
      </c>
      <c r="R46" s="302">
        <v>157</v>
      </c>
      <c r="S46" s="9">
        <v>294.46</v>
      </c>
      <c r="T46" s="171">
        <f>119</f>
        <v>119</v>
      </c>
      <c r="U46" s="191">
        <f>199.79</f>
        <v>199.79</v>
      </c>
      <c r="V46" s="171">
        <f>185+15</f>
        <v>200</v>
      </c>
      <c r="W46" s="191">
        <f>1017.45+49.63</f>
        <v>1067.08</v>
      </c>
      <c r="X46" s="326">
        <v>98</v>
      </c>
      <c r="Y46" s="326">
        <v>265.43</v>
      </c>
      <c r="Z46" s="171">
        <v>223</v>
      </c>
      <c r="AA46" s="191">
        <v>383.55</v>
      </c>
      <c r="AB46" s="172">
        <f t="shared" si="0"/>
        <v>1518</v>
      </c>
      <c r="AC46" s="303">
        <f t="shared" si="1"/>
        <v>3364.59</v>
      </c>
      <c r="AD46" s="304">
        <f t="shared" si="10"/>
        <v>3.92688172043011</v>
      </c>
      <c r="AE46" s="305">
        <f t="shared" si="11"/>
        <v>3.52491397849462</v>
      </c>
      <c r="AF46" s="309">
        <f t="shared" si="12"/>
        <v>0.00699771352706889</v>
      </c>
      <c r="AG46" s="194">
        <f t="shared" si="13"/>
        <v>0.00324461328561515</v>
      </c>
      <c r="AH46" s="157"/>
      <c r="AI46" s="157"/>
      <c r="AJ46" s="157"/>
      <c r="AK46" s="157"/>
    </row>
    <row r="47" s="28" customFormat="1" customHeight="1" spans="1:46">
      <c r="A47" s="182"/>
      <c r="B47" s="190"/>
      <c r="C47" s="170" t="s">
        <v>126</v>
      </c>
      <c r="D47" s="171"/>
      <c r="E47" s="171"/>
      <c r="F47" s="171"/>
      <c r="G47" s="171"/>
      <c r="H47" s="302">
        <v>120</v>
      </c>
      <c r="I47" s="9">
        <v>1013.15</v>
      </c>
      <c r="J47" s="302">
        <v>343</v>
      </c>
      <c r="K47" s="9">
        <v>3527</v>
      </c>
      <c r="L47" s="302">
        <v>323</v>
      </c>
      <c r="M47" s="9">
        <v>3107.84</v>
      </c>
      <c r="N47" s="302">
        <v>426</v>
      </c>
      <c r="O47" s="9">
        <v>4136.28</v>
      </c>
      <c r="P47" s="302">
        <v>452</v>
      </c>
      <c r="Q47" s="9">
        <v>4202.73</v>
      </c>
      <c r="R47" s="302">
        <v>511</v>
      </c>
      <c r="S47" s="9">
        <v>4833.25</v>
      </c>
      <c r="T47" s="171">
        <f>602</f>
        <v>602</v>
      </c>
      <c r="U47" s="191">
        <f>5659.81</f>
        <v>5659.81</v>
      </c>
      <c r="V47" s="171">
        <f>760</f>
        <v>760</v>
      </c>
      <c r="W47" s="191">
        <f>7103.39</f>
        <v>7103.39</v>
      </c>
      <c r="X47" s="326">
        <v>908</v>
      </c>
      <c r="Y47" s="326">
        <v>8785.02</v>
      </c>
      <c r="Z47" s="171">
        <v>1175</v>
      </c>
      <c r="AA47" s="191">
        <v>11214.65</v>
      </c>
      <c r="AB47" s="172">
        <f t="shared" si="0"/>
        <v>5620</v>
      </c>
      <c r="AC47" s="303">
        <f t="shared" si="1"/>
        <v>53583.12</v>
      </c>
      <c r="AD47" s="304">
        <f t="shared" si="10"/>
        <v>7.63655913978495</v>
      </c>
      <c r="AE47" s="305">
        <f t="shared" si="11"/>
        <v>68.9289032258064</v>
      </c>
      <c r="AF47" s="309">
        <f t="shared" si="12"/>
        <v>0.0259072134533117</v>
      </c>
      <c r="AG47" s="194">
        <f t="shared" si="13"/>
        <v>0.0516724186414128</v>
      </c>
      <c r="AH47" s="157"/>
      <c r="AI47" s="157"/>
      <c r="AJ47" s="157"/>
      <c r="AK47" s="157"/>
    </row>
    <row r="48" s="28" customFormat="1" customHeight="1" spans="1:46">
      <c r="A48" s="182"/>
      <c r="B48" s="190"/>
      <c r="C48" s="170" t="s">
        <v>150</v>
      </c>
      <c r="D48" s="171"/>
      <c r="E48" s="171"/>
      <c r="F48" s="171"/>
      <c r="G48" s="171"/>
      <c r="H48" s="302">
        <v>1</v>
      </c>
      <c r="I48" s="9">
        <v>12</v>
      </c>
      <c r="J48" s="302">
        <v>90</v>
      </c>
      <c r="K48" s="9">
        <v>1200.56</v>
      </c>
      <c r="L48" s="302">
        <v>26</v>
      </c>
      <c r="M48" s="9">
        <v>331.01</v>
      </c>
      <c r="N48" s="302">
        <v>9</v>
      </c>
      <c r="O48" s="9">
        <v>118</v>
      </c>
      <c r="P48" s="302">
        <v>6</v>
      </c>
      <c r="Q48" s="9">
        <v>71.5</v>
      </c>
      <c r="R48" s="302">
        <v>22</v>
      </c>
      <c r="S48" s="9">
        <v>277.06</v>
      </c>
      <c r="T48" s="171">
        <f>61</f>
        <v>61</v>
      </c>
      <c r="U48" s="191">
        <f>603.24</f>
        <v>603.24</v>
      </c>
      <c r="V48" s="171">
        <f>114</f>
        <v>114</v>
      </c>
      <c r="W48" s="191">
        <f>1101.11</f>
        <v>1101.11</v>
      </c>
      <c r="X48" s="326">
        <v>147</v>
      </c>
      <c r="Y48" s="326">
        <v>1375.67</v>
      </c>
      <c r="Z48" s="171">
        <v>195</v>
      </c>
      <c r="AA48" s="191">
        <v>1821.47</v>
      </c>
      <c r="AB48" s="172">
        <f t="shared" si="0"/>
        <v>671</v>
      </c>
      <c r="AC48" s="303">
        <f t="shared" si="1"/>
        <v>6911.62</v>
      </c>
      <c r="AD48" s="304">
        <f t="shared" si="10"/>
        <v>1.39032258064516</v>
      </c>
      <c r="AE48" s="305">
        <f t="shared" si="11"/>
        <v>12.9014301075269</v>
      </c>
      <c r="AF48" s="309">
        <f t="shared" si="12"/>
        <v>0.0030931922112406</v>
      </c>
      <c r="AG48" s="194">
        <f t="shared" si="13"/>
        <v>0.00666516100836161</v>
      </c>
      <c r="AH48" s="157"/>
      <c r="AI48" s="157"/>
      <c r="AJ48" s="157"/>
      <c r="AK48" s="157"/>
    </row>
    <row r="49" s="28" customFormat="1" customHeight="1" spans="1:37">
      <c r="A49" s="182"/>
      <c r="B49" s="190"/>
      <c r="C49" s="170" t="s">
        <v>151</v>
      </c>
      <c r="D49" s="171"/>
      <c r="E49" s="171"/>
      <c r="F49" s="171"/>
      <c r="G49" s="171"/>
      <c r="H49" s="302">
        <v>151</v>
      </c>
      <c r="I49" s="9">
        <v>1494.9</v>
      </c>
      <c r="J49" s="302">
        <v>585</v>
      </c>
      <c r="K49" s="9">
        <v>4845.69</v>
      </c>
      <c r="L49" s="302">
        <v>2066</v>
      </c>
      <c r="M49" s="9">
        <v>16922.65</v>
      </c>
      <c r="N49" s="302">
        <v>2209</v>
      </c>
      <c r="O49" s="9">
        <v>18114.88</v>
      </c>
      <c r="P49" s="302">
        <v>2971</v>
      </c>
      <c r="Q49" s="9">
        <v>24558.88</v>
      </c>
      <c r="R49" s="302">
        <v>3003</v>
      </c>
      <c r="S49" s="9">
        <v>24773.99</v>
      </c>
      <c r="T49" s="171">
        <f>2289</f>
        <v>2289</v>
      </c>
      <c r="U49" s="191">
        <f>19086.93</f>
        <v>19086.93</v>
      </c>
      <c r="V49" s="171">
        <f>1738</f>
        <v>1738</v>
      </c>
      <c r="W49" s="191">
        <f>14473.63</f>
        <v>14473.63</v>
      </c>
      <c r="X49" s="326">
        <v>1110</v>
      </c>
      <c r="Y49" s="326">
        <v>9757.62</v>
      </c>
      <c r="Z49" s="171">
        <v>1433</v>
      </c>
      <c r="AA49" s="191">
        <v>11391.75</v>
      </c>
      <c r="AB49" s="172">
        <f t="shared" si="0"/>
        <v>17555</v>
      </c>
      <c r="AC49" s="303">
        <f t="shared" si="1"/>
        <v>145420.92</v>
      </c>
      <c r="AD49" s="304">
        <f t="shared" si="10"/>
        <v>9.2258064516129</v>
      </c>
      <c r="AE49" s="305">
        <f t="shared" si="11"/>
        <v>42.2218064516129</v>
      </c>
      <c r="AF49" s="310">
        <f t="shared" si="12"/>
        <v>0.0809254683581649</v>
      </c>
      <c r="AG49" s="220">
        <f t="shared" si="13"/>
        <v>0.140235407297287</v>
      </c>
      <c r="AH49" s="157"/>
      <c r="AI49" s="157"/>
      <c r="AJ49" s="157"/>
      <c r="AK49" s="157"/>
    </row>
    <row r="50" s="28" customFormat="1" customHeight="1" spans="1:37">
      <c r="A50" s="182"/>
      <c r="B50" s="190"/>
      <c r="C50" s="170" t="s">
        <v>135</v>
      </c>
      <c r="D50" s="357"/>
      <c r="E50" s="357"/>
      <c r="F50" s="302"/>
      <c r="G50" s="9"/>
      <c r="H50" s="302"/>
      <c r="I50" s="9"/>
      <c r="J50" s="302"/>
      <c r="K50" s="9"/>
      <c r="L50" s="302"/>
      <c r="M50" s="9"/>
      <c r="N50" s="9"/>
      <c r="O50" s="9"/>
      <c r="P50" s="9"/>
      <c r="Q50" s="9"/>
      <c r="R50" s="9"/>
      <c r="S50" s="9"/>
      <c r="T50" s="9">
        <f>549</f>
        <v>549</v>
      </c>
      <c r="U50" s="9">
        <f>599.86</f>
        <v>599.86</v>
      </c>
      <c r="V50" s="171">
        <f>989</f>
        <v>989</v>
      </c>
      <c r="W50" s="191">
        <f>1165.82</f>
        <v>1165.82</v>
      </c>
      <c r="X50" s="326">
        <v>0</v>
      </c>
      <c r="Y50" s="326">
        <v>0</v>
      </c>
      <c r="Z50" s="171">
        <v>0</v>
      </c>
      <c r="AA50" s="191">
        <v>0</v>
      </c>
      <c r="AB50" s="172">
        <f t="shared" si="0"/>
        <v>1538</v>
      </c>
      <c r="AC50" s="303">
        <f t="shared" si="1"/>
        <v>1765.68</v>
      </c>
      <c r="AD50" s="304">
        <f t="shared" si="10"/>
        <v>0</v>
      </c>
      <c r="AE50" s="305">
        <f t="shared" si="11"/>
        <v>0</v>
      </c>
      <c r="AF50" s="309">
        <f t="shared" si="12"/>
        <v>0.00708991001622658</v>
      </c>
      <c r="AG50" s="194">
        <f t="shared" si="13"/>
        <v>0.00170271824684284</v>
      </c>
      <c r="AH50" s="157"/>
      <c r="AI50" s="157"/>
      <c r="AJ50" s="157"/>
      <c r="AK50" s="157"/>
    </row>
    <row r="51" s="28" customFormat="1" customHeight="1" spans="1:37">
      <c r="A51" s="182"/>
      <c r="B51" s="190"/>
      <c r="C51" s="170" t="s">
        <v>144</v>
      </c>
      <c r="D51" s="357"/>
      <c r="E51" s="357"/>
      <c r="F51" s="302"/>
      <c r="G51" s="9"/>
      <c r="H51" s="302"/>
      <c r="I51" s="9"/>
      <c r="J51" s="302"/>
      <c r="K51" s="9"/>
      <c r="L51" s="302"/>
      <c r="M51" s="9"/>
      <c r="N51" s="9"/>
      <c r="O51" s="9"/>
      <c r="P51" s="9"/>
      <c r="Q51" s="9"/>
      <c r="R51" s="9"/>
      <c r="S51" s="9"/>
      <c r="T51" s="9">
        <f>1064</f>
        <v>1064</v>
      </c>
      <c r="U51" s="9">
        <f>88.97</f>
        <v>88.97</v>
      </c>
      <c r="V51" s="171">
        <f>1852</f>
        <v>1852</v>
      </c>
      <c r="W51" s="191">
        <f>111.08</f>
        <v>111.08</v>
      </c>
      <c r="X51" s="326">
        <v>2438</v>
      </c>
      <c r="Y51" s="326">
        <v>140.15</v>
      </c>
      <c r="Z51" s="171">
        <v>3757</v>
      </c>
      <c r="AA51" s="191">
        <v>200.79</v>
      </c>
      <c r="AB51" s="172">
        <f t="shared" si="0"/>
        <v>9111</v>
      </c>
      <c r="AC51" s="303">
        <f t="shared" si="1"/>
        <v>540.99</v>
      </c>
      <c r="AD51" s="304">
        <f t="shared" si="10"/>
        <v>39.9268817204301</v>
      </c>
      <c r="AE51" s="305">
        <f t="shared" si="11"/>
        <v>1.80543010752688</v>
      </c>
      <c r="AF51" s="309">
        <f t="shared" si="12"/>
        <v>0.042000110635787</v>
      </c>
      <c r="AG51" s="194">
        <f t="shared" si="13"/>
        <v>0.000521699030605495</v>
      </c>
      <c r="AH51" s="157"/>
      <c r="AI51" s="157"/>
      <c r="AJ51" s="157"/>
      <c r="AK51" s="157"/>
    </row>
    <row r="52" s="28" customFormat="1" customHeight="1" spans="1:37">
      <c r="A52" s="182"/>
      <c r="B52" s="197"/>
      <c r="C52" s="198" t="s">
        <v>152</v>
      </c>
      <c r="D52" s="358"/>
      <c r="E52" s="358"/>
      <c r="F52" s="312"/>
      <c r="G52" s="313"/>
      <c r="H52" s="312"/>
      <c r="I52" s="313"/>
      <c r="J52" s="312"/>
      <c r="K52" s="313"/>
      <c r="L52" s="312"/>
      <c r="M52" s="313"/>
      <c r="N52" s="313"/>
      <c r="O52" s="313"/>
      <c r="P52" s="313"/>
      <c r="Q52" s="313"/>
      <c r="R52" s="313"/>
      <c r="S52" s="313"/>
      <c r="T52" s="313"/>
      <c r="U52" s="313">
        <v>596.47</v>
      </c>
      <c r="V52" s="199"/>
      <c r="W52" s="200">
        <v>1201.2</v>
      </c>
      <c r="X52" s="199"/>
      <c r="Y52" s="200">
        <v>2131.22</v>
      </c>
      <c r="Z52" s="199"/>
      <c r="AA52" s="200">
        <v>4659.25</v>
      </c>
      <c r="AB52" s="201">
        <f t="shared" si="0"/>
        <v>0</v>
      </c>
      <c r="AC52" s="314">
        <f t="shared" si="1"/>
        <v>8588.14</v>
      </c>
      <c r="AD52" s="315">
        <f t="shared" si="10"/>
        <v>0</v>
      </c>
      <c r="AE52" s="333">
        <f t="shared" si="11"/>
        <v>79.2577204301075</v>
      </c>
      <c r="AF52" s="334">
        <f t="shared" si="12"/>
        <v>0</v>
      </c>
      <c r="AG52" s="203">
        <f t="shared" si="13"/>
        <v>0.00828189857983377</v>
      </c>
      <c r="AH52" s="157"/>
      <c r="AI52" s="157"/>
      <c r="AJ52" s="157"/>
      <c r="AK52" s="157"/>
    </row>
    <row r="53" s="28" customFormat="1" customHeight="1" spans="1:37">
      <c r="A53" s="182"/>
      <c r="B53" s="183" t="s">
        <v>53</v>
      </c>
      <c r="C53" s="335" t="s">
        <v>153</v>
      </c>
      <c r="D53" s="359"/>
      <c r="E53" s="359"/>
      <c r="F53" s="319">
        <v>6671</v>
      </c>
      <c r="G53" s="320">
        <v>36813.1</v>
      </c>
      <c r="H53" s="319">
        <v>8941</v>
      </c>
      <c r="I53" s="320">
        <v>49637</v>
      </c>
      <c r="J53" s="319">
        <v>8072</v>
      </c>
      <c r="K53" s="320">
        <v>45256</v>
      </c>
      <c r="L53" s="319">
        <v>8293</v>
      </c>
      <c r="M53" s="320">
        <v>47065.47</v>
      </c>
      <c r="N53" s="320">
        <v>7506</v>
      </c>
      <c r="O53" s="320">
        <v>42614.31</v>
      </c>
      <c r="P53" s="320">
        <f>84+8316</f>
        <v>8400</v>
      </c>
      <c r="Q53" s="320">
        <f>479.6+46406.54</f>
        <v>46886.14</v>
      </c>
      <c r="R53" s="320">
        <f>330+9399</f>
        <v>9729</v>
      </c>
      <c r="S53" s="320">
        <f>2137.49+52635.83</f>
        <v>54773.32</v>
      </c>
      <c r="T53" s="320">
        <f>7408+122+145</f>
        <v>7675</v>
      </c>
      <c r="U53" s="320">
        <f>40758.16+639.82+742.85</f>
        <v>42140.83</v>
      </c>
      <c r="V53" s="319">
        <f>8400+455+29</f>
        <v>8884</v>
      </c>
      <c r="W53" s="320">
        <f>45438.1+2460.01+131.63</f>
        <v>48029.74</v>
      </c>
      <c r="X53" s="321">
        <v>8491</v>
      </c>
      <c r="Y53" s="321">
        <v>45712</v>
      </c>
      <c r="Z53" s="185">
        <v>9418</v>
      </c>
      <c r="AA53" s="186">
        <v>50425.36</v>
      </c>
      <c r="AB53" s="187">
        <f t="shared" si="0"/>
        <v>92080</v>
      </c>
      <c r="AC53" s="322">
        <f t="shared" si="1"/>
        <v>509353.27</v>
      </c>
      <c r="AD53" s="323">
        <f t="shared" si="10"/>
        <v>20.7731182795699</v>
      </c>
      <c r="AE53" s="360">
        <f t="shared" si="11"/>
        <v>102.891182795699</v>
      </c>
      <c r="AF53" s="341">
        <f>AB53/SUM($AB$53:$AB$65)</f>
        <v>0.304132275079848</v>
      </c>
      <c r="AG53" s="278">
        <f>AC53/SUM($AC$53:$AC$65)</f>
        <v>0.3131591212485</v>
      </c>
      <c r="AH53" s="157">
        <f>AG53+AG56+AG59</f>
        <v>0.542443381812259</v>
      </c>
      <c r="AI53" s="157"/>
      <c r="AJ53" s="361">
        <f>AG55</f>
        <v>0.0138826878602825</v>
      </c>
      <c r="AK53" s="157">
        <f>AG60+AG59</f>
        <v>0.126509982444696</v>
      </c>
    </row>
    <row r="54" s="28" customFormat="1" customHeight="1" spans="1:37">
      <c r="A54" s="182"/>
      <c r="B54" s="190"/>
      <c r="C54" s="170" t="s">
        <v>116</v>
      </c>
      <c r="D54" s="357"/>
      <c r="E54" s="357"/>
      <c r="F54" s="302">
        <v>5627</v>
      </c>
      <c r="G54" s="9">
        <v>11981.5</v>
      </c>
      <c r="H54" s="302">
        <v>7664</v>
      </c>
      <c r="I54" s="9">
        <v>16248</v>
      </c>
      <c r="J54" s="302">
        <v>6482</v>
      </c>
      <c r="K54" s="9">
        <v>14062.1</v>
      </c>
      <c r="L54" s="302">
        <v>6798</v>
      </c>
      <c r="M54" s="9">
        <v>15922.03</v>
      </c>
      <c r="N54" s="9">
        <v>5754</v>
      </c>
      <c r="O54" s="9">
        <v>13622</v>
      </c>
      <c r="P54" s="9">
        <f>252+6227</f>
        <v>6479</v>
      </c>
      <c r="Q54" s="9">
        <f>479.18+14822.79</f>
        <v>15301.97</v>
      </c>
      <c r="R54" s="9">
        <f>550+7099</f>
        <v>7649</v>
      </c>
      <c r="S54" s="9">
        <f>1081.33+16736.13</f>
        <v>17817.46</v>
      </c>
      <c r="T54" s="9">
        <f>6025+170+168</f>
        <v>6363</v>
      </c>
      <c r="U54" s="9">
        <f>13882.1+430.27+236.89</f>
        <v>14549.26</v>
      </c>
      <c r="V54" s="302">
        <f>6253+1453</f>
        <v>7706</v>
      </c>
      <c r="W54" s="9">
        <f>14289.72+3037.31</f>
        <v>17327.03</v>
      </c>
      <c r="X54" s="326">
        <v>4721</v>
      </c>
      <c r="Y54" s="326">
        <v>8423.82</v>
      </c>
      <c r="Z54" s="171">
        <v>5857</v>
      </c>
      <c r="AA54" s="191">
        <v>10946</v>
      </c>
      <c r="AB54" s="172">
        <f t="shared" si="0"/>
        <v>71100</v>
      </c>
      <c r="AC54" s="303">
        <f t="shared" si="1"/>
        <v>156201.17</v>
      </c>
      <c r="AD54" s="304">
        <f t="shared" si="10"/>
        <v>31.5688172043011</v>
      </c>
      <c r="AE54" s="305">
        <f t="shared" si="11"/>
        <v>72.3027741935484</v>
      </c>
      <c r="AF54" s="340">
        <f t="shared" ref="AF54:AF65" si="14">AB54/SUM($AB$53:$AB$65)</f>
        <v>0.234837149849883</v>
      </c>
      <c r="AG54" s="275">
        <f t="shared" ref="AG54:AG65" si="15">AC54/SUM($AC$53:$AC$65)</f>
        <v>0.096035156768872</v>
      </c>
      <c r="AH54" s="157"/>
      <c r="AI54" s="157">
        <f>AG54</f>
        <v>0.096035156768872</v>
      </c>
      <c r="AJ54" s="157"/>
      <c r="AK54" s="157"/>
    </row>
    <row r="55" s="28" customFormat="1" customHeight="1" spans="1:37">
      <c r="A55" s="182"/>
      <c r="B55" s="190"/>
      <c r="C55" s="170" t="s">
        <v>117</v>
      </c>
      <c r="D55" s="357"/>
      <c r="E55" s="357"/>
      <c r="F55" s="302"/>
      <c r="G55" s="9"/>
      <c r="H55" s="302"/>
      <c r="I55" s="9"/>
      <c r="J55" s="302"/>
      <c r="K55" s="9"/>
      <c r="L55" s="302"/>
      <c r="M55" s="9"/>
      <c r="N55" s="9"/>
      <c r="O55" s="9"/>
      <c r="P55" s="9"/>
      <c r="Q55" s="9"/>
      <c r="R55" s="9"/>
      <c r="S55" s="9"/>
      <c r="T55" s="9"/>
      <c r="U55" s="9"/>
      <c r="V55" s="302"/>
      <c r="W55" s="9"/>
      <c r="X55" s="326">
        <v>3959</v>
      </c>
      <c r="Y55" s="326">
        <v>10285.43</v>
      </c>
      <c r="Z55" s="171">
        <v>4749</v>
      </c>
      <c r="AA55" s="191">
        <v>12294.76</v>
      </c>
      <c r="AB55" s="172">
        <f>D55+F55+H55+J55+L55+N55+P55+R55+T55+V55+X55+Z55</f>
        <v>8708</v>
      </c>
      <c r="AC55" s="303">
        <f>E55+G55+I55+K55+M55+O55+Q55+S55+U55+W55+Y55+AA55</f>
        <v>22580.19</v>
      </c>
      <c r="AD55" s="304">
        <f t="shared" si="10"/>
        <v>21.2268817204301</v>
      </c>
      <c r="AE55" s="305">
        <f t="shared" si="11"/>
        <v>53.7574946236559</v>
      </c>
      <c r="AF55" s="340">
        <f t="shared" si="14"/>
        <v>0.0287617707579856</v>
      </c>
      <c r="AG55" s="275">
        <f t="shared" si="15"/>
        <v>0.0138826878602825</v>
      </c>
      <c r="AH55" s="157"/>
      <c r="AI55" s="157"/>
      <c r="AJ55" s="157"/>
      <c r="AK55" s="157"/>
    </row>
    <row r="56" s="28" customFormat="1" customHeight="1" spans="1:37">
      <c r="A56" s="182"/>
      <c r="B56" s="190"/>
      <c r="C56" s="170" t="s">
        <v>154</v>
      </c>
      <c r="D56" s="357"/>
      <c r="E56" s="357"/>
      <c r="F56" s="302">
        <v>2744</v>
      </c>
      <c r="G56" s="9">
        <v>20159.3</v>
      </c>
      <c r="H56" s="302">
        <v>4023</v>
      </c>
      <c r="I56" s="9">
        <v>28343</v>
      </c>
      <c r="J56" s="302">
        <v>3436</v>
      </c>
      <c r="K56" s="9">
        <v>23680</v>
      </c>
      <c r="L56" s="302">
        <v>3307</v>
      </c>
      <c r="M56" s="9">
        <v>23019.11</v>
      </c>
      <c r="N56" s="9">
        <v>3329</v>
      </c>
      <c r="O56" s="9">
        <v>22476.27</v>
      </c>
      <c r="P56" s="9">
        <f>114+3771</f>
        <v>3885</v>
      </c>
      <c r="Q56" s="9">
        <f>843.43+24578.66</f>
        <v>25422.09</v>
      </c>
      <c r="R56" s="9">
        <f>178+4745</f>
        <v>4923</v>
      </c>
      <c r="S56" s="9">
        <f>1398.36+31349.97</f>
        <v>32748.33</v>
      </c>
      <c r="T56" s="9">
        <f>4104+81+51</f>
        <v>4236</v>
      </c>
      <c r="U56" s="9">
        <f>26899.01+555.59+461.83</f>
        <v>27916.43</v>
      </c>
      <c r="V56" s="302">
        <f>4309+320</f>
        <v>4629</v>
      </c>
      <c r="W56" s="9">
        <f>28664.3+2708.8</f>
        <v>31373.1</v>
      </c>
      <c r="X56" s="326">
        <v>4507</v>
      </c>
      <c r="Y56" s="326">
        <v>28947.58</v>
      </c>
      <c r="Z56" s="171">
        <v>4604</v>
      </c>
      <c r="AA56" s="191">
        <v>29832.31</v>
      </c>
      <c r="AB56" s="172">
        <f t="shared" si="0"/>
        <v>43623</v>
      </c>
      <c r="AC56" s="303">
        <f t="shared" si="1"/>
        <v>293917.52</v>
      </c>
      <c r="AD56" s="304">
        <f t="shared" si="10"/>
        <v>-1.71720430107524</v>
      </c>
      <c r="AE56" s="305">
        <f t="shared" si="11"/>
        <v>-2.58675268817205</v>
      </c>
      <c r="AF56" s="340">
        <f t="shared" si="14"/>
        <v>0.144082995610428</v>
      </c>
      <c r="AG56" s="278">
        <f t="shared" si="15"/>
        <v>0.180705529352425</v>
      </c>
      <c r="AH56" s="157"/>
      <c r="AI56" s="157"/>
      <c r="AJ56" s="157"/>
      <c r="AK56" s="157"/>
    </row>
    <row r="57" s="28" customFormat="1" customHeight="1" spans="1:37">
      <c r="A57" s="182"/>
      <c r="B57" s="190"/>
      <c r="C57" s="170" t="s">
        <v>155</v>
      </c>
      <c r="D57" s="357"/>
      <c r="E57" s="357"/>
      <c r="F57" s="302">
        <v>1019</v>
      </c>
      <c r="G57" s="9">
        <v>14316.3</v>
      </c>
      <c r="H57" s="302">
        <v>1663</v>
      </c>
      <c r="I57" s="9">
        <v>25744</v>
      </c>
      <c r="J57" s="302">
        <v>1919</v>
      </c>
      <c r="K57" s="9">
        <v>28826</v>
      </c>
      <c r="L57" s="302">
        <v>2190</v>
      </c>
      <c r="M57" s="9">
        <v>32754.55</v>
      </c>
      <c r="N57" s="9">
        <v>1947</v>
      </c>
      <c r="O57" s="9">
        <v>28894.22</v>
      </c>
      <c r="P57" s="9">
        <v>1875</v>
      </c>
      <c r="Q57" s="9">
        <f>52.27+27340.55</f>
        <v>27392.82</v>
      </c>
      <c r="R57" s="9">
        <f>63+1792</f>
        <v>1855</v>
      </c>
      <c r="S57" s="9">
        <f>736.41+25715.33</f>
        <v>26451.74</v>
      </c>
      <c r="T57" s="9">
        <f>1957+91</f>
        <v>2048</v>
      </c>
      <c r="U57" s="9">
        <f>28126.26+1151.24</f>
        <v>29277.5</v>
      </c>
      <c r="V57" s="302">
        <f>1865+826</f>
        <v>2691</v>
      </c>
      <c r="W57" s="9">
        <f>27033.37+9974.89</f>
        <v>37008.26</v>
      </c>
      <c r="X57" s="326">
        <v>2342</v>
      </c>
      <c r="Y57" s="326">
        <v>32539.66</v>
      </c>
      <c r="Z57" s="171">
        <v>2542</v>
      </c>
      <c r="AA57" s="191">
        <v>34453.64</v>
      </c>
      <c r="AB57" s="172">
        <f t="shared" si="0"/>
        <v>22091</v>
      </c>
      <c r="AC57" s="303">
        <f t="shared" si="1"/>
        <v>317658.69</v>
      </c>
      <c r="AD57" s="304">
        <f t="shared" si="10"/>
        <v>3.93333333333334</v>
      </c>
      <c r="AE57" s="305">
        <f t="shared" si="11"/>
        <v>26.7524086021506</v>
      </c>
      <c r="AF57" s="340">
        <f t="shared" si="14"/>
        <v>0.0729646621284635</v>
      </c>
      <c r="AG57" s="278">
        <f t="shared" si="15"/>
        <v>0.195302007617129</v>
      </c>
      <c r="AH57" s="157"/>
      <c r="AI57" s="157"/>
      <c r="AJ57" s="157"/>
      <c r="AK57" s="157"/>
    </row>
    <row r="58" s="28" customFormat="1" customHeight="1" spans="1:37">
      <c r="A58" s="182"/>
      <c r="B58" s="190"/>
      <c r="C58" s="170" t="s">
        <v>126</v>
      </c>
      <c r="D58" s="357"/>
      <c r="E58" s="357"/>
      <c r="F58" s="302">
        <v>638</v>
      </c>
      <c r="G58" s="9">
        <v>7048.6</v>
      </c>
      <c r="H58" s="302">
        <v>954</v>
      </c>
      <c r="I58" s="9">
        <v>9953</v>
      </c>
      <c r="J58" s="302">
        <v>972</v>
      </c>
      <c r="K58" s="9">
        <v>10342</v>
      </c>
      <c r="L58" s="302">
        <v>905</v>
      </c>
      <c r="M58" s="9">
        <v>9662.69</v>
      </c>
      <c r="N58" s="9">
        <v>716</v>
      </c>
      <c r="O58" s="9">
        <v>7454.99</v>
      </c>
      <c r="P58" s="9">
        <f>28+632</f>
        <v>660</v>
      </c>
      <c r="Q58" s="9">
        <f>268.06+6194.84</f>
        <v>6462.9</v>
      </c>
      <c r="R58" s="9">
        <f>93+661</f>
        <v>754</v>
      </c>
      <c r="S58" s="9">
        <f>897.3+6508.89</f>
        <v>7406.19</v>
      </c>
      <c r="T58" s="9">
        <f>527+42+6</f>
        <v>575</v>
      </c>
      <c r="U58" s="9">
        <f>5217.02+372.83+62.5</f>
        <v>5652.35</v>
      </c>
      <c r="V58" s="302">
        <f>659+171+39</f>
        <v>869</v>
      </c>
      <c r="W58" s="9">
        <f>6739.65+1627.09+403.56</f>
        <v>8770.3</v>
      </c>
      <c r="X58" s="326">
        <v>787</v>
      </c>
      <c r="Y58" s="326">
        <v>7794.95</v>
      </c>
      <c r="Z58" s="171">
        <v>863</v>
      </c>
      <c r="AA58" s="191">
        <v>8453.26</v>
      </c>
      <c r="AB58" s="172">
        <f t="shared" si="0"/>
        <v>8693</v>
      </c>
      <c r="AC58" s="303">
        <f t="shared" si="1"/>
        <v>89001.23</v>
      </c>
      <c r="AD58" s="304">
        <f t="shared" si="10"/>
        <v>1.60537634408602</v>
      </c>
      <c r="AE58" s="305">
        <f t="shared" si="11"/>
        <v>12.8541397849463</v>
      </c>
      <c r="AF58" s="340">
        <f t="shared" si="14"/>
        <v>0.0287122270554856</v>
      </c>
      <c r="AG58" s="278">
        <f t="shared" si="15"/>
        <v>0.0547194817789933</v>
      </c>
      <c r="AH58" s="157"/>
      <c r="AI58" s="157"/>
      <c r="AJ58" s="157"/>
      <c r="AK58" s="157"/>
    </row>
    <row r="59" s="28" customFormat="1" customHeight="1" spans="1:37">
      <c r="A59" s="182"/>
      <c r="B59" s="190"/>
      <c r="C59" s="170" t="s">
        <v>133</v>
      </c>
      <c r="D59" s="357"/>
      <c r="E59" s="357"/>
      <c r="F59" s="302">
        <v>601</v>
      </c>
      <c r="G59" s="9">
        <v>7681.1</v>
      </c>
      <c r="H59" s="302">
        <v>722</v>
      </c>
      <c r="I59" s="9">
        <v>9845</v>
      </c>
      <c r="J59" s="302">
        <v>639</v>
      </c>
      <c r="K59" s="9">
        <v>8734</v>
      </c>
      <c r="L59" s="302">
        <v>448</v>
      </c>
      <c r="M59" s="9">
        <v>6045.14</v>
      </c>
      <c r="N59" s="9">
        <v>411</v>
      </c>
      <c r="O59" s="9">
        <v>5387.78</v>
      </c>
      <c r="P59" s="9">
        <f>15+398</f>
        <v>413</v>
      </c>
      <c r="Q59" s="9">
        <f>160.36+4676.23</f>
        <v>4836.59</v>
      </c>
      <c r="R59" s="9">
        <f>50+441</f>
        <v>491</v>
      </c>
      <c r="S59" s="9">
        <f>510.06+5424.85</f>
        <v>5934.91</v>
      </c>
      <c r="T59" s="9">
        <f>444+37</f>
        <v>481</v>
      </c>
      <c r="U59" s="9">
        <f>5784.48+357.32</f>
        <v>6141.8</v>
      </c>
      <c r="V59" s="302">
        <f>520+185</f>
        <v>705</v>
      </c>
      <c r="W59" s="9">
        <f>6763.98+1891.25</f>
        <v>8655.23</v>
      </c>
      <c r="X59" s="326">
        <v>621</v>
      </c>
      <c r="Y59" s="326">
        <v>7573.6</v>
      </c>
      <c r="Z59" s="171">
        <v>665</v>
      </c>
      <c r="AA59" s="191">
        <v>8178.15</v>
      </c>
      <c r="AB59" s="172">
        <f t="shared" si="0"/>
        <v>6197</v>
      </c>
      <c r="AC59" s="303">
        <f t="shared" si="1"/>
        <v>79013.3</v>
      </c>
      <c r="AD59" s="304">
        <f t="shared" si="10"/>
        <v>0.751612903225809</v>
      </c>
      <c r="AE59" s="305">
        <f t="shared" si="11"/>
        <v>11.3579569892473</v>
      </c>
      <c r="AF59" s="340">
        <f t="shared" si="14"/>
        <v>0.0204681549594898</v>
      </c>
      <c r="AG59" s="275">
        <f t="shared" si="15"/>
        <v>0.0485787312113342</v>
      </c>
      <c r="AH59" s="157"/>
      <c r="AI59" s="157"/>
      <c r="AJ59" s="157"/>
      <c r="AK59" s="157"/>
    </row>
    <row r="60" s="28" customFormat="1" customHeight="1" spans="1:37">
      <c r="A60" s="182"/>
      <c r="B60" s="190"/>
      <c r="C60" s="196" t="s">
        <v>141</v>
      </c>
      <c r="D60" s="357"/>
      <c r="E60" s="357"/>
      <c r="F60" s="302">
        <v>196</v>
      </c>
      <c r="G60" s="9">
        <v>1775.4</v>
      </c>
      <c r="H60" s="302">
        <v>1831</v>
      </c>
      <c r="I60" s="9">
        <v>15935.9</v>
      </c>
      <c r="J60" s="302">
        <v>1291</v>
      </c>
      <c r="K60" s="9">
        <v>11131.9</v>
      </c>
      <c r="L60" s="302">
        <v>1297</v>
      </c>
      <c r="M60" s="9">
        <v>11537.98</v>
      </c>
      <c r="N60" s="9">
        <v>1110</v>
      </c>
      <c r="O60" s="9">
        <v>9580.89</v>
      </c>
      <c r="P60" s="9">
        <f>107+1641</f>
        <v>1748</v>
      </c>
      <c r="Q60" s="9">
        <f>1166+14904.3</f>
        <v>16070.3</v>
      </c>
      <c r="R60" s="9">
        <f>130+1197</f>
        <v>1327</v>
      </c>
      <c r="S60" s="9">
        <f>1631.95+10634.72</f>
        <v>12266.67</v>
      </c>
      <c r="T60" s="9">
        <f>1100+106</f>
        <v>1206</v>
      </c>
      <c r="U60" s="9">
        <f>7704.66+1090.32</f>
        <v>8794.98</v>
      </c>
      <c r="V60" s="302">
        <f>641+412</f>
        <v>1053</v>
      </c>
      <c r="W60" s="9">
        <f>5674.93+4579.81</f>
        <v>10254.74</v>
      </c>
      <c r="X60" s="326">
        <v>1005</v>
      </c>
      <c r="Y60" s="326">
        <v>9023.13</v>
      </c>
      <c r="Z60" s="171">
        <v>2475</v>
      </c>
      <c r="AA60" s="191">
        <v>20383.28</v>
      </c>
      <c r="AB60" s="172">
        <f t="shared" si="0"/>
        <v>14539</v>
      </c>
      <c r="AC60" s="303">
        <f t="shared" si="1"/>
        <v>126755.17</v>
      </c>
      <c r="AD60" s="304">
        <f t="shared" si="10"/>
        <v>46.3387096774194</v>
      </c>
      <c r="AE60" s="307">
        <f t="shared" si="11"/>
        <v>356.754161290323</v>
      </c>
      <c r="AF60" s="340">
        <f t="shared" si="14"/>
        <v>0.048021059376476</v>
      </c>
      <c r="AG60" s="275">
        <f t="shared" si="15"/>
        <v>0.0779312512333616</v>
      </c>
      <c r="AH60" s="157"/>
      <c r="AI60" s="157"/>
      <c r="AJ60" s="157"/>
      <c r="AK60" s="157"/>
    </row>
    <row r="61" s="28" customFormat="1" customHeight="1" spans="1:37">
      <c r="A61" s="182"/>
      <c r="B61" s="190"/>
      <c r="C61" s="170" t="s">
        <v>156</v>
      </c>
      <c r="D61" s="357"/>
      <c r="E61" s="357"/>
      <c r="F61" s="302"/>
      <c r="G61" s="9"/>
      <c r="H61" s="302"/>
      <c r="I61" s="9"/>
      <c r="J61" s="302"/>
      <c r="K61" s="9"/>
      <c r="L61" s="302"/>
      <c r="M61" s="9"/>
      <c r="N61" s="9"/>
      <c r="O61" s="9"/>
      <c r="P61" s="9"/>
      <c r="Q61" s="9"/>
      <c r="R61" s="9"/>
      <c r="S61" s="9"/>
      <c r="T61" s="9"/>
      <c r="U61" s="9"/>
      <c r="V61" s="302"/>
      <c r="W61" s="9"/>
      <c r="X61" s="326">
        <v>212</v>
      </c>
      <c r="Y61" s="326">
        <v>359.22</v>
      </c>
      <c r="Z61" s="171">
        <v>134</v>
      </c>
      <c r="AA61" s="191">
        <v>419.03</v>
      </c>
      <c r="AB61" s="172">
        <f t="shared" si="0"/>
        <v>346</v>
      </c>
      <c r="AC61" s="303">
        <f t="shared" si="1"/>
        <v>778.25</v>
      </c>
      <c r="AD61" s="304">
        <f t="shared" si="10"/>
        <v>-2.74408602150538</v>
      </c>
      <c r="AE61" s="305">
        <f t="shared" si="11"/>
        <v>1.54309677419355</v>
      </c>
      <c r="AF61" s="340">
        <f t="shared" si="14"/>
        <v>0.00114280807099943</v>
      </c>
      <c r="AG61" s="275">
        <f t="shared" si="15"/>
        <v>0.000478481440026183</v>
      </c>
      <c r="AH61" s="157"/>
      <c r="AI61" s="157"/>
      <c r="AJ61" s="157"/>
      <c r="AK61" s="157"/>
    </row>
    <row r="62" s="28" customFormat="1" customHeight="1" spans="1:37">
      <c r="A62" s="182"/>
      <c r="B62" s="190"/>
      <c r="C62" s="170" t="s">
        <v>157</v>
      </c>
      <c r="D62" s="357"/>
      <c r="E62" s="357"/>
      <c r="F62" s="302">
        <v>27</v>
      </c>
      <c r="G62" s="9">
        <v>271</v>
      </c>
      <c r="H62" s="302">
        <v>6</v>
      </c>
      <c r="I62" s="9">
        <v>75</v>
      </c>
      <c r="J62" s="302">
        <v>13</v>
      </c>
      <c r="K62" s="9">
        <v>105</v>
      </c>
      <c r="L62" s="302">
        <v>15</v>
      </c>
      <c r="M62" s="9">
        <v>102</v>
      </c>
      <c r="N62" s="9">
        <v>8</v>
      </c>
      <c r="O62" s="9">
        <v>52</v>
      </c>
      <c r="P62" s="9">
        <v>11</v>
      </c>
      <c r="Q62" s="9">
        <v>145</v>
      </c>
      <c r="R62" s="9"/>
      <c r="S62" s="9"/>
      <c r="T62" s="9"/>
      <c r="U62" s="9"/>
      <c r="V62" s="302"/>
      <c r="W62" s="9"/>
      <c r="X62" s="326">
        <v>0</v>
      </c>
      <c r="Y62" s="326">
        <v>0</v>
      </c>
      <c r="Z62" s="171">
        <v>1</v>
      </c>
      <c r="AA62" s="191">
        <v>20</v>
      </c>
      <c r="AB62" s="172">
        <f t="shared" si="0"/>
        <v>81</v>
      </c>
      <c r="AC62" s="303">
        <f t="shared" si="1"/>
        <v>770</v>
      </c>
      <c r="AD62" s="304">
        <f t="shared" si="10"/>
        <v>0.032258064516129</v>
      </c>
      <c r="AE62" s="305">
        <f t="shared" si="11"/>
        <v>0.645161290322581</v>
      </c>
      <c r="AF62" s="340">
        <f t="shared" si="14"/>
        <v>0.000267535993499866</v>
      </c>
      <c r="AG62" s="275">
        <f t="shared" si="15"/>
        <v>0.000473409198612478</v>
      </c>
      <c r="AH62" s="157"/>
      <c r="AI62" s="157"/>
      <c r="AJ62" s="157"/>
      <c r="AK62" s="157"/>
    </row>
    <row r="63" s="28" customFormat="1" customHeight="1" spans="1:37">
      <c r="A63" s="182"/>
      <c r="B63" s="190"/>
      <c r="C63" s="223" t="s">
        <v>142</v>
      </c>
      <c r="D63" s="362"/>
      <c r="E63" s="362"/>
      <c r="F63" s="362"/>
      <c r="G63" s="362"/>
      <c r="H63" s="362"/>
      <c r="I63" s="362"/>
      <c r="J63" s="362"/>
      <c r="K63" s="362"/>
      <c r="L63" s="171"/>
      <c r="M63" s="328"/>
      <c r="N63" s="9">
        <v>933</v>
      </c>
      <c r="O63" s="9">
        <v>1323.9</v>
      </c>
      <c r="P63" s="9">
        <f>89+2326</f>
        <v>2415</v>
      </c>
      <c r="Q63" s="9">
        <f>52.46+3327.44</f>
        <v>3379.9</v>
      </c>
      <c r="R63" s="9">
        <f>106+1782</f>
        <v>1888</v>
      </c>
      <c r="S63" s="9">
        <f>167.83+3845.57</f>
        <v>4013.4</v>
      </c>
      <c r="T63" s="9">
        <f>848+84</f>
        <v>932</v>
      </c>
      <c r="U63" s="9">
        <f>1815.62+117.2</f>
        <v>1932.82</v>
      </c>
      <c r="V63" s="302">
        <f>827</f>
        <v>827</v>
      </c>
      <c r="W63" s="9">
        <f>1657.84</f>
        <v>1657.84</v>
      </c>
      <c r="X63" s="326">
        <v>0</v>
      </c>
      <c r="Y63" s="326">
        <v>0</v>
      </c>
      <c r="Z63" s="171">
        <v>0</v>
      </c>
      <c r="AA63" s="191">
        <v>0</v>
      </c>
      <c r="AB63" s="172">
        <f t="shared" si="0"/>
        <v>6995</v>
      </c>
      <c r="AC63" s="303">
        <f t="shared" si="1"/>
        <v>12307.86</v>
      </c>
      <c r="AD63" s="304">
        <f t="shared" si="10"/>
        <v>0</v>
      </c>
      <c r="AE63" s="305">
        <f t="shared" si="11"/>
        <v>0</v>
      </c>
      <c r="AF63" s="340">
        <f t="shared" si="14"/>
        <v>0.0231038799324884</v>
      </c>
      <c r="AG63" s="275">
        <f t="shared" si="15"/>
        <v>0.00756708329770724</v>
      </c>
      <c r="AH63" s="157"/>
      <c r="AI63" s="157"/>
      <c r="AJ63" s="157"/>
      <c r="AK63" s="157"/>
    </row>
    <row r="64" s="28" customFormat="1" customHeight="1" spans="1:37">
      <c r="A64" s="182"/>
      <c r="B64" s="190"/>
      <c r="C64" s="223" t="s">
        <v>158</v>
      </c>
      <c r="D64" s="362"/>
      <c r="E64" s="362"/>
      <c r="F64" s="362"/>
      <c r="G64" s="362"/>
      <c r="H64" s="362"/>
      <c r="I64" s="362"/>
      <c r="J64" s="362"/>
      <c r="K64" s="362"/>
      <c r="L64" s="171"/>
      <c r="M64" s="328"/>
      <c r="N64" s="9">
        <v>1303</v>
      </c>
      <c r="O64" s="9">
        <v>220.98</v>
      </c>
      <c r="P64" s="9">
        <f>549+4356</f>
        <v>4905</v>
      </c>
      <c r="Q64" s="9">
        <f>56.7+445.1</f>
        <v>501.8</v>
      </c>
      <c r="R64" s="9">
        <f>1256+3558</f>
        <v>4814</v>
      </c>
      <c r="S64" s="9">
        <f>84.84+375.36</f>
        <v>460.2</v>
      </c>
      <c r="T64" s="9">
        <f>1657+803</f>
        <v>2460</v>
      </c>
      <c r="U64" s="9">
        <f>220.45+55.82</f>
        <v>276.27</v>
      </c>
      <c r="V64" s="302">
        <f>1687+3867</f>
        <v>5554</v>
      </c>
      <c r="W64" s="9">
        <f>171.98+273.12</f>
        <v>445.1</v>
      </c>
      <c r="X64" s="326">
        <v>4012</v>
      </c>
      <c r="Y64" s="326">
        <v>259.39</v>
      </c>
      <c r="Z64" s="171">
        <v>5262</v>
      </c>
      <c r="AA64" s="191">
        <v>407.21</v>
      </c>
      <c r="AB64" s="172">
        <f t="shared" si="0"/>
        <v>28310</v>
      </c>
      <c r="AC64" s="303">
        <f t="shared" si="1"/>
        <v>2570.95</v>
      </c>
      <c r="AD64" s="304">
        <f t="shared" si="10"/>
        <v>36.0086021505377</v>
      </c>
      <c r="AE64" s="305">
        <f t="shared" si="11"/>
        <v>4.48947311827957</v>
      </c>
      <c r="AF64" s="340">
        <f t="shared" si="14"/>
        <v>0.0935054811849532</v>
      </c>
      <c r="AG64" s="275">
        <f t="shared" si="15"/>
        <v>0.00158066412879578</v>
      </c>
      <c r="AH64" s="157"/>
      <c r="AI64" s="157"/>
      <c r="AJ64" s="157"/>
      <c r="AK64" s="157"/>
    </row>
    <row r="65" s="28" customFormat="1" customHeight="1" spans="1:37">
      <c r="A65" s="182"/>
      <c r="B65" s="197"/>
      <c r="C65" s="198" t="s">
        <v>137</v>
      </c>
      <c r="D65" s="358"/>
      <c r="E65" s="358"/>
      <c r="F65" s="363"/>
      <c r="G65" s="363"/>
      <c r="H65" s="312"/>
      <c r="I65" s="313"/>
      <c r="J65" s="312"/>
      <c r="K65" s="313"/>
      <c r="L65" s="364"/>
      <c r="M65" s="365"/>
      <c r="N65" s="364"/>
      <c r="O65" s="365"/>
      <c r="P65" s="364"/>
      <c r="Q65" s="364"/>
      <c r="R65" s="364"/>
      <c r="S65" s="364"/>
      <c r="T65" s="199"/>
      <c r="U65" s="200">
        <v>1897.02</v>
      </c>
      <c r="V65" s="366"/>
      <c r="W65" s="367">
        <v>4986.24</v>
      </c>
      <c r="X65" s="199"/>
      <c r="Y65" s="200">
        <v>3478.93</v>
      </c>
      <c r="Z65" s="199"/>
      <c r="AA65" s="200">
        <v>5230.08</v>
      </c>
      <c r="AB65" s="201">
        <f t="shared" si="0"/>
        <v>0</v>
      </c>
      <c r="AC65" s="314">
        <f t="shared" si="1"/>
        <v>15592.27</v>
      </c>
      <c r="AD65" s="315">
        <f t="shared" si="10"/>
        <v>0</v>
      </c>
      <c r="AE65" s="333">
        <f t="shared" si="11"/>
        <v>52.7479247311828</v>
      </c>
      <c r="AF65" s="349">
        <f t="shared" si="14"/>
        <v>0</v>
      </c>
      <c r="AG65" s="350">
        <f t="shared" si="15"/>
        <v>0.00958639486396024</v>
      </c>
      <c r="AH65" s="157"/>
      <c r="AI65" s="157"/>
      <c r="AJ65" s="157"/>
      <c r="AK65" s="157"/>
    </row>
    <row r="66" s="28" customFormat="1" customHeight="1" spans="1:37">
      <c r="A66" s="182" t="s">
        <v>159</v>
      </c>
      <c r="B66" s="183" t="s">
        <v>55</v>
      </c>
      <c r="C66" s="184" t="s">
        <v>160</v>
      </c>
      <c r="D66" s="359"/>
      <c r="E66" s="359"/>
      <c r="F66" s="368"/>
      <c r="G66" s="368"/>
      <c r="H66" s="319">
        <v>2548</v>
      </c>
      <c r="I66" s="320">
        <v>12280.4</v>
      </c>
      <c r="J66" s="319">
        <v>6359</v>
      </c>
      <c r="K66" s="320">
        <v>35031.23</v>
      </c>
      <c r="L66" s="369">
        <v>4963</v>
      </c>
      <c r="M66" s="370">
        <v>29031.53</v>
      </c>
      <c r="N66" s="369">
        <v>5360</v>
      </c>
      <c r="O66" s="370">
        <v>31246.55</v>
      </c>
      <c r="P66" s="369">
        <f>34+6355</f>
        <v>6389</v>
      </c>
      <c r="Q66" s="369">
        <f>217.25+37405.87</f>
        <v>37623.12</v>
      </c>
      <c r="R66" s="369">
        <f>283+4914+5</f>
        <v>5202</v>
      </c>
      <c r="S66" s="369">
        <f>2052.31+29009.42+23.71</f>
        <v>31085.44</v>
      </c>
      <c r="T66" s="185">
        <f>4199+133</f>
        <v>4332</v>
      </c>
      <c r="U66" s="186">
        <f>24212.97+849.13</f>
        <v>25062.1</v>
      </c>
      <c r="V66" s="185">
        <f>4157+434+22</f>
        <v>4613</v>
      </c>
      <c r="W66" s="186">
        <f>23734.79+2634.44+102.81</f>
        <v>26472.04</v>
      </c>
      <c r="X66" s="321">
        <v>4235</v>
      </c>
      <c r="Y66" s="321">
        <v>22936.98</v>
      </c>
      <c r="Z66" s="185">
        <v>4641</v>
      </c>
      <c r="AA66" s="186">
        <v>24670.2</v>
      </c>
      <c r="AB66" s="187">
        <f t="shared" si="0"/>
        <v>48642</v>
      </c>
      <c r="AC66" s="322">
        <f t="shared" si="1"/>
        <v>275439.59</v>
      </c>
      <c r="AD66" s="323">
        <f t="shared" si="10"/>
        <v>8.54301075268819</v>
      </c>
      <c r="AE66" s="324">
        <f t="shared" si="11"/>
        <v>31.2469032258065</v>
      </c>
      <c r="AF66" s="371">
        <f>AB66/SUM($AB$66:$AB$79)</f>
        <v>0.231796347832717</v>
      </c>
      <c r="AG66" s="261">
        <f>AC66/SUM($AC$66:$AC$79)</f>
        <v>0.237074603488176</v>
      </c>
      <c r="AH66" s="157">
        <f>AG66+AG70+AG72</f>
        <v>0.405902080193307</v>
      </c>
      <c r="AI66" s="157">
        <f>AG67</f>
        <v>0.121712753978511</v>
      </c>
      <c r="AJ66" s="157">
        <f>AG69</f>
        <v>0.0732215350131755</v>
      </c>
      <c r="AK66" s="157">
        <f>AG71+AG73</f>
        <v>0.221448124136661</v>
      </c>
    </row>
    <row r="67" s="28" customFormat="1" customHeight="1" spans="1:37">
      <c r="A67" s="182"/>
      <c r="B67" s="190"/>
      <c r="C67" s="170" t="s">
        <v>116</v>
      </c>
      <c r="D67" s="357"/>
      <c r="E67" s="357"/>
      <c r="F67" s="362"/>
      <c r="G67" s="362"/>
      <c r="H67" s="302">
        <v>1408</v>
      </c>
      <c r="I67" s="9">
        <v>4381.18</v>
      </c>
      <c r="J67" s="302">
        <v>4105</v>
      </c>
      <c r="K67" s="9">
        <v>15797.65</v>
      </c>
      <c r="L67" s="234">
        <v>3323</v>
      </c>
      <c r="M67" s="372">
        <v>11942.66</v>
      </c>
      <c r="N67" s="234">
        <v>4143</v>
      </c>
      <c r="O67" s="372">
        <v>12911.8</v>
      </c>
      <c r="P67" s="234">
        <f>109+4851</f>
        <v>4960</v>
      </c>
      <c r="Q67" s="234">
        <f>252.16+18127.73</f>
        <v>18379.89</v>
      </c>
      <c r="R67" s="234">
        <f>727+4353</f>
        <v>5080</v>
      </c>
      <c r="S67" s="234">
        <f>1798.17+18133.56</f>
        <v>19931.73</v>
      </c>
      <c r="T67" s="171">
        <f>3705+404</f>
        <v>4109</v>
      </c>
      <c r="U67" s="191">
        <f>14545.79+1042.11</f>
        <v>15587.9</v>
      </c>
      <c r="V67" s="171">
        <f>3442+1070+12</f>
        <v>4524</v>
      </c>
      <c r="W67" s="191">
        <f>14958.98+2786.47+34.78</f>
        <v>17780.23</v>
      </c>
      <c r="X67" s="326">
        <v>3906</v>
      </c>
      <c r="Y67" s="326">
        <v>11882.91</v>
      </c>
      <c r="Z67" s="171">
        <v>4653</v>
      </c>
      <c r="AA67" s="191">
        <v>12813.17</v>
      </c>
      <c r="AB67" s="172">
        <f t="shared" si="0"/>
        <v>40211</v>
      </c>
      <c r="AC67" s="303">
        <f t="shared" si="1"/>
        <v>141409.12</v>
      </c>
      <c r="AD67" s="304">
        <f t="shared" si="10"/>
        <v>19.8967741935484</v>
      </c>
      <c r="AE67" s="305">
        <f t="shared" si="11"/>
        <v>17.231064516129</v>
      </c>
      <c r="AF67" s="309">
        <f t="shared" ref="AF67:AF79" si="16">AB67/SUM($AB$66:$AB$79)</f>
        <v>0.191619648507491</v>
      </c>
      <c r="AG67" s="194">
        <f t="shared" ref="AG67:AG79" si="17">AC67/SUM($AC$66:$AC$79)</f>
        <v>0.121712753978511</v>
      </c>
      <c r="AH67" s="157"/>
      <c r="AI67" s="157"/>
      <c r="AJ67" s="157"/>
      <c r="AK67" s="157"/>
    </row>
    <row r="68" s="28" customFormat="1" customHeight="1" spans="1:37">
      <c r="A68" s="182"/>
      <c r="B68" s="190"/>
      <c r="C68" s="170" t="s">
        <v>161</v>
      </c>
      <c r="D68" s="357"/>
      <c r="E68" s="357"/>
      <c r="F68" s="362"/>
      <c r="G68" s="362"/>
      <c r="H68" s="302"/>
      <c r="I68" s="9"/>
      <c r="J68" s="302"/>
      <c r="K68" s="9"/>
      <c r="L68" s="234"/>
      <c r="M68" s="372"/>
      <c r="N68" s="234"/>
      <c r="O68" s="372"/>
      <c r="P68" s="234"/>
      <c r="Q68" s="234"/>
      <c r="R68" s="234"/>
      <c r="S68" s="234"/>
      <c r="T68" s="171"/>
      <c r="U68" s="191"/>
      <c r="V68" s="171"/>
      <c r="W68" s="191"/>
      <c r="X68" s="326">
        <v>60</v>
      </c>
      <c r="Y68" s="326">
        <v>180.12</v>
      </c>
      <c r="Z68" s="171">
        <v>77</v>
      </c>
      <c r="AA68" s="191">
        <v>284.7</v>
      </c>
      <c r="AB68" s="172">
        <f t="shared" ref="AB68:AB114" si="18">D68+F68+H68+J68+L68+N68+P68+R68+T68+V68+X68+Z68</f>
        <v>137</v>
      </c>
      <c r="AC68" s="303">
        <f t="shared" ref="AC68:AC114" si="19">E68+G68+I68+K68+M68+O68+Q68+S68+U68+W68+Y68+AA68</f>
        <v>464.82</v>
      </c>
      <c r="AD68" s="304">
        <f t="shared" si="10"/>
        <v>0.483870967741935</v>
      </c>
      <c r="AE68" s="305">
        <f t="shared" si="11"/>
        <v>3.17987096774193</v>
      </c>
      <c r="AF68" s="309">
        <f t="shared" si="16"/>
        <v>0.000652853493957531</v>
      </c>
      <c r="AG68" s="194">
        <f t="shared" si="17"/>
        <v>0.000400076899596656</v>
      </c>
      <c r="AH68" s="157"/>
      <c r="AI68" s="157"/>
      <c r="AJ68" s="157"/>
      <c r="AK68" s="157"/>
    </row>
    <row r="69" s="28" customFormat="1" customHeight="1" spans="1:37">
      <c r="A69" s="182"/>
      <c r="B69" s="190"/>
      <c r="C69" s="196" t="s">
        <v>117</v>
      </c>
      <c r="D69" s="357"/>
      <c r="E69" s="357"/>
      <c r="F69" s="362"/>
      <c r="G69" s="362"/>
      <c r="H69" s="302">
        <v>1372</v>
      </c>
      <c r="I69" s="9">
        <v>3458.22</v>
      </c>
      <c r="J69" s="302">
        <v>4039</v>
      </c>
      <c r="K69" s="9">
        <v>11259.01</v>
      </c>
      <c r="L69" s="234">
        <v>3012</v>
      </c>
      <c r="M69" s="372">
        <v>8594.49</v>
      </c>
      <c r="N69" s="234">
        <v>2783</v>
      </c>
      <c r="O69" s="372">
        <v>7807.01</v>
      </c>
      <c r="P69" s="234">
        <f>48+3790</f>
        <v>3838</v>
      </c>
      <c r="Q69" s="234">
        <f>95.02+10563.66</f>
        <v>10658.68</v>
      </c>
      <c r="R69" s="234">
        <f>321+3003</f>
        <v>3324</v>
      </c>
      <c r="S69" s="234">
        <f>603.85+8397.91</f>
        <v>9001.76</v>
      </c>
      <c r="T69" s="171">
        <f>2376+133</f>
        <v>2509</v>
      </c>
      <c r="U69" s="191">
        <f>6605.4+239.13</f>
        <v>6844.53</v>
      </c>
      <c r="V69" s="171">
        <f>2369+410</f>
        <v>2779</v>
      </c>
      <c r="W69" s="191">
        <f>6817.29+793.62</f>
        <v>7610.91</v>
      </c>
      <c r="X69" s="326">
        <v>2749</v>
      </c>
      <c r="Y69" s="326">
        <v>7949.97</v>
      </c>
      <c r="Z69" s="171">
        <v>3511</v>
      </c>
      <c r="AA69" s="191">
        <v>11886.15</v>
      </c>
      <c r="AB69" s="172">
        <f t="shared" si="18"/>
        <v>29916</v>
      </c>
      <c r="AC69" s="303">
        <f t="shared" si="19"/>
        <v>85070.73</v>
      </c>
      <c r="AD69" s="304">
        <f t="shared" ref="AD69:AD100" si="20">Z69/31-X69/30</f>
        <v>21.6247311827957</v>
      </c>
      <c r="AE69" s="307">
        <f t="shared" ref="AE69:AE100" si="21">AA69/31-Y69/30</f>
        <v>118.425193548387</v>
      </c>
      <c r="AF69" s="309">
        <f t="shared" si="16"/>
        <v>0.142560329381266</v>
      </c>
      <c r="AG69" s="194">
        <f t="shared" si="17"/>
        <v>0.0732215350131755</v>
      </c>
      <c r="AH69" s="157"/>
      <c r="AI69" s="157"/>
      <c r="AJ69" s="157"/>
      <c r="AK69" s="157"/>
    </row>
    <row r="70" s="28" customFormat="1" customHeight="1" spans="1:37">
      <c r="A70" s="182"/>
      <c r="B70" s="190"/>
      <c r="C70" s="170" t="s">
        <v>122</v>
      </c>
      <c r="D70" s="357"/>
      <c r="E70" s="357"/>
      <c r="F70" s="362"/>
      <c r="G70" s="362"/>
      <c r="H70" s="302">
        <v>864</v>
      </c>
      <c r="I70" s="9">
        <v>6557.29</v>
      </c>
      <c r="J70" s="302">
        <v>1972</v>
      </c>
      <c r="K70" s="9">
        <v>13938.92</v>
      </c>
      <c r="L70" s="234">
        <v>1640</v>
      </c>
      <c r="M70" s="372">
        <v>12299.52</v>
      </c>
      <c r="N70" s="234">
        <v>1945</v>
      </c>
      <c r="O70" s="372">
        <v>14142.76</v>
      </c>
      <c r="P70" s="234">
        <f>26+2217</f>
        <v>2243</v>
      </c>
      <c r="Q70" s="234">
        <f>231.07+15886.22</f>
        <v>16117.29</v>
      </c>
      <c r="R70" s="234">
        <f>167+1917</f>
        <v>2084</v>
      </c>
      <c r="S70" s="234">
        <f>1395.34+14044.38</f>
        <v>15439.72</v>
      </c>
      <c r="T70" s="171">
        <f>1587+113</f>
        <v>1700</v>
      </c>
      <c r="U70" s="191">
        <f>11781.66+872.98</f>
        <v>12654.64</v>
      </c>
      <c r="V70" s="171">
        <f>1404+71+287</f>
        <v>1762</v>
      </c>
      <c r="W70" s="191">
        <f>10879.88+416.98+2147.81</f>
        <v>13444.67</v>
      </c>
      <c r="X70" s="326">
        <v>2200</v>
      </c>
      <c r="Y70" s="326">
        <v>16257</v>
      </c>
      <c r="Z70" s="171">
        <v>2754</v>
      </c>
      <c r="AA70" s="191">
        <v>19393.94</v>
      </c>
      <c r="AB70" s="172">
        <f t="shared" si="18"/>
        <v>19164</v>
      </c>
      <c r="AC70" s="303">
        <f t="shared" si="19"/>
        <v>140245.75</v>
      </c>
      <c r="AD70" s="304">
        <f t="shared" si="20"/>
        <v>15.505376344086</v>
      </c>
      <c r="AE70" s="305">
        <f t="shared" si="21"/>
        <v>83.7109677419355</v>
      </c>
      <c r="AF70" s="309">
        <f t="shared" si="16"/>
        <v>0.0913232434905265</v>
      </c>
      <c r="AG70" s="194">
        <f t="shared" si="17"/>
        <v>0.120711425587556</v>
      </c>
      <c r="AH70" s="157"/>
      <c r="AI70" s="157"/>
      <c r="AJ70" s="157"/>
      <c r="AK70" s="157"/>
    </row>
    <row r="71" s="28" customFormat="1" customHeight="1" spans="1:37">
      <c r="A71" s="182"/>
      <c r="B71" s="190"/>
      <c r="C71" s="170" t="s">
        <v>130</v>
      </c>
      <c r="D71" s="357"/>
      <c r="E71" s="357"/>
      <c r="F71" s="362"/>
      <c r="G71" s="362"/>
      <c r="H71" s="302">
        <v>748</v>
      </c>
      <c r="I71" s="9">
        <v>8501.99</v>
      </c>
      <c r="J71" s="302">
        <v>1407</v>
      </c>
      <c r="K71" s="9">
        <v>20909.49</v>
      </c>
      <c r="L71" s="234">
        <v>1278</v>
      </c>
      <c r="M71" s="372">
        <v>18862.13</v>
      </c>
      <c r="N71" s="234">
        <v>1605</v>
      </c>
      <c r="O71" s="372">
        <v>22482.21</v>
      </c>
      <c r="P71" s="234">
        <f>27+1582</f>
        <v>1609</v>
      </c>
      <c r="Q71" s="234">
        <f>321.52+21580.29</f>
        <v>21901.81</v>
      </c>
      <c r="R71" s="234">
        <f>159+1236</f>
        <v>1395</v>
      </c>
      <c r="S71" s="234">
        <f>1969.42+17392.5</f>
        <v>19361.92</v>
      </c>
      <c r="T71" s="171">
        <f>1118+153</f>
        <v>1271</v>
      </c>
      <c r="U71" s="191">
        <f>15677.65+1925.77</f>
        <v>17603.42</v>
      </c>
      <c r="V71" s="171">
        <f>1191+519</f>
        <v>1710</v>
      </c>
      <c r="W71" s="191">
        <f>17676.44+6662.27</f>
        <v>24338.71</v>
      </c>
      <c r="X71" s="326">
        <v>1879</v>
      </c>
      <c r="Y71" s="326">
        <v>26225.58</v>
      </c>
      <c r="Z71" s="171">
        <v>1975</v>
      </c>
      <c r="AA71" s="191">
        <v>25651.71</v>
      </c>
      <c r="AB71" s="172">
        <f t="shared" si="18"/>
        <v>14877</v>
      </c>
      <c r="AC71" s="303">
        <f t="shared" si="19"/>
        <v>205838.97</v>
      </c>
      <c r="AD71" s="304">
        <f t="shared" si="20"/>
        <v>1.07634408602151</v>
      </c>
      <c r="AE71" s="305">
        <f t="shared" si="21"/>
        <v>-46.7114838709678</v>
      </c>
      <c r="AF71" s="309">
        <f t="shared" si="16"/>
        <v>0.0708941710190233</v>
      </c>
      <c r="AG71" s="194">
        <f t="shared" si="17"/>
        <v>0.177168402680111</v>
      </c>
      <c r="AH71" s="157"/>
      <c r="AI71" s="157"/>
      <c r="AJ71" s="157"/>
      <c r="AK71" s="157"/>
    </row>
    <row r="72" s="28" customFormat="1" customHeight="1" spans="1:37">
      <c r="A72" s="182"/>
      <c r="B72" s="190"/>
      <c r="C72" s="170" t="s">
        <v>162</v>
      </c>
      <c r="D72" s="357"/>
      <c r="E72" s="357"/>
      <c r="F72" s="362"/>
      <c r="G72" s="362"/>
      <c r="H72" s="302">
        <v>409</v>
      </c>
      <c r="I72" s="9">
        <v>4374.41</v>
      </c>
      <c r="J72" s="302">
        <v>750</v>
      </c>
      <c r="K72" s="9">
        <v>9934.66</v>
      </c>
      <c r="L72" s="234">
        <v>443</v>
      </c>
      <c r="M72" s="372">
        <v>6162.42</v>
      </c>
      <c r="N72" s="234">
        <v>64</v>
      </c>
      <c r="O72" s="372">
        <v>953.25</v>
      </c>
      <c r="P72" s="234">
        <f>5+470</f>
        <v>475</v>
      </c>
      <c r="Q72" s="234">
        <f>60.28+6534.99</f>
        <v>6595.27</v>
      </c>
      <c r="R72" s="234">
        <f>55+397</f>
        <v>452</v>
      </c>
      <c r="S72" s="234">
        <f>572.47+5473.99</f>
        <v>6046.46</v>
      </c>
      <c r="T72" s="171">
        <f>351+30</f>
        <v>381</v>
      </c>
      <c r="U72" s="191">
        <f>4933.35+301.17</f>
        <v>5234.52</v>
      </c>
      <c r="V72" s="171">
        <f>308+98</f>
        <v>406</v>
      </c>
      <c r="W72" s="191">
        <f>4398.94+977.45</f>
        <v>5376.39</v>
      </c>
      <c r="X72" s="326">
        <v>402</v>
      </c>
      <c r="Y72" s="326">
        <v>5347.05</v>
      </c>
      <c r="Z72" s="171">
        <v>460</v>
      </c>
      <c r="AA72" s="171">
        <v>5878.08</v>
      </c>
      <c r="AB72" s="172">
        <f t="shared" si="18"/>
        <v>4242</v>
      </c>
      <c r="AC72" s="303">
        <f t="shared" si="19"/>
        <v>55902.51</v>
      </c>
      <c r="AD72" s="304">
        <f t="shared" si="20"/>
        <v>1.43870967741935</v>
      </c>
      <c r="AE72" s="305">
        <f t="shared" si="21"/>
        <v>11.3804838709677</v>
      </c>
      <c r="AF72" s="309">
        <f t="shared" si="16"/>
        <v>0.020214631542831</v>
      </c>
      <c r="AG72" s="194">
        <f t="shared" si="17"/>
        <v>0.0481160511175747</v>
      </c>
      <c r="AH72" s="157"/>
      <c r="AI72" s="157"/>
      <c r="AJ72" s="157"/>
      <c r="AK72" s="157"/>
    </row>
    <row r="73" s="28" customFormat="1" customHeight="1" spans="1:37">
      <c r="A73" s="182"/>
      <c r="B73" s="190"/>
      <c r="C73" s="170" t="s">
        <v>163</v>
      </c>
      <c r="D73" s="357"/>
      <c r="E73" s="357"/>
      <c r="F73" s="362"/>
      <c r="G73" s="362"/>
      <c r="H73" s="302">
        <v>162</v>
      </c>
      <c r="I73" s="9">
        <v>1501.81</v>
      </c>
      <c r="J73" s="302">
        <v>532</v>
      </c>
      <c r="K73" s="9">
        <v>5478.94</v>
      </c>
      <c r="L73" s="234">
        <v>479</v>
      </c>
      <c r="M73" s="372">
        <v>4814.71</v>
      </c>
      <c r="N73" s="234">
        <v>560</v>
      </c>
      <c r="O73" s="372">
        <v>5225.69</v>
      </c>
      <c r="P73" s="234">
        <f>12+536</f>
        <v>548</v>
      </c>
      <c r="Q73" s="234">
        <f>100.44+5637.25</f>
        <v>5737.69</v>
      </c>
      <c r="R73" s="234">
        <f>81+399</f>
        <v>480</v>
      </c>
      <c r="S73" s="234">
        <f>705.67+3945.37</f>
        <v>4651.04</v>
      </c>
      <c r="T73" s="171">
        <f>417+71</f>
        <v>488</v>
      </c>
      <c r="U73" s="191">
        <f>4076.87+657.94</f>
        <v>4734.81</v>
      </c>
      <c r="V73" s="171">
        <f>375+242</f>
        <v>617</v>
      </c>
      <c r="W73" s="191">
        <f>3821.45+2141.49</f>
        <v>5962.94</v>
      </c>
      <c r="X73" s="326">
        <v>581</v>
      </c>
      <c r="Y73" s="326">
        <v>5647.7</v>
      </c>
      <c r="Z73" s="171">
        <v>818</v>
      </c>
      <c r="AA73" s="171">
        <v>7690.03</v>
      </c>
      <c r="AB73" s="172">
        <f t="shared" si="18"/>
        <v>5265</v>
      </c>
      <c r="AC73" s="303">
        <f t="shared" si="19"/>
        <v>51445.36</v>
      </c>
      <c r="AD73" s="304">
        <f t="shared" si="20"/>
        <v>7.02043010752688</v>
      </c>
      <c r="AE73" s="305">
        <f t="shared" si="21"/>
        <v>59.8088172043011</v>
      </c>
      <c r="AF73" s="309">
        <f t="shared" si="16"/>
        <v>0.0250895886546453</v>
      </c>
      <c r="AG73" s="194">
        <f t="shared" si="17"/>
        <v>0.0442797214565505</v>
      </c>
      <c r="AH73" s="157"/>
      <c r="AI73" s="157"/>
      <c r="AJ73" s="157"/>
      <c r="AK73" s="157"/>
    </row>
    <row r="74" s="28" customFormat="1" customHeight="1" spans="1:37">
      <c r="A74" s="182"/>
      <c r="B74" s="190"/>
      <c r="C74" s="196" t="s">
        <v>164</v>
      </c>
      <c r="D74" s="357"/>
      <c r="E74" s="357"/>
      <c r="F74" s="362"/>
      <c r="G74" s="362"/>
      <c r="H74" s="302">
        <v>37</v>
      </c>
      <c r="I74" s="9">
        <v>550.3</v>
      </c>
      <c r="J74" s="302">
        <v>1301</v>
      </c>
      <c r="K74" s="9">
        <v>13760.1</v>
      </c>
      <c r="L74" s="234">
        <v>2431</v>
      </c>
      <c r="M74" s="372">
        <v>23193.69</v>
      </c>
      <c r="N74" s="234">
        <v>2049</v>
      </c>
      <c r="O74" s="372">
        <v>18838.79</v>
      </c>
      <c r="P74" s="234">
        <f>25+2429</f>
        <v>2454</v>
      </c>
      <c r="Q74" s="234">
        <f>278.5+21979.92</f>
        <v>22258.42</v>
      </c>
      <c r="R74" s="234">
        <f>353+1955</f>
        <v>2308</v>
      </c>
      <c r="S74" s="234">
        <f>3786.44+17473.27</f>
        <v>21259.71</v>
      </c>
      <c r="T74" s="171">
        <f>11+5+58+1889+51</f>
        <v>2014</v>
      </c>
      <c r="U74" s="191">
        <f>138.76+37.07+683.2+16337.96+597.69</f>
        <v>17794.68</v>
      </c>
      <c r="V74" s="171">
        <f>1313+2+103</f>
        <v>1418</v>
      </c>
      <c r="W74" s="191">
        <f>11717.72+29.94+1268.69</f>
        <v>13016.35</v>
      </c>
      <c r="X74" s="326">
        <v>1356</v>
      </c>
      <c r="Y74" s="326">
        <v>13441.14</v>
      </c>
      <c r="Z74" s="171">
        <v>2855</v>
      </c>
      <c r="AA74" s="171">
        <v>24613.12</v>
      </c>
      <c r="AB74" s="172">
        <f t="shared" si="18"/>
        <v>18223</v>
      </c>
      <c r="AC74" s="303">
        <f t="shared" si="19"/>
        <v>168726.3</v>
      </c>
      <c r="AD74" s="304">
        <f t="shared" si="20"/>
        <v>46.8967741935484</v>
      </c>
      <c r="AE74" s="307">
        <f t="shared" si="21"/>
        <v>345.933612903226</v>
      </c>
      <c r="AF74" s="309">
        <f t="shared" si="16"/>
        <v>0.0868390454042926</v>
      </c>
      <c r="AG74" s="194">
        <f t="shared" si="17"/>
        <v>0.145225022555861</v>
      </c>
      <c r="AH74" s="157"/>
      <c r="AI74" s="157"/>
      <c r="AJ74" s="157"/>
      <c r="AK74" s="157"/>
    </row>
    <row r="75" s="28" customFormat="1" customHeight="1" spans="1:37">
      <c r="A75" s="182"/>
      <c r="B75" s="190"/>
      <c r="C75" s="170" t="s">
        <v>157</v>
      </c>
      <c r="D75" s="357"/>
      <c r="E75" s="357"/>
      <c r="F75" s="362"/>
      <c r="G75" s="362"/>
      <c r="H75" s="302">
        <v>19</v>
      </c>
      <c r="I75" s="9">
        <v>213</v>
      </c>
      <c r="J75" s="302">
        <v>150</v>
      </c>
      <c r="K75" s="9">
        <v>1349</v>
      </c>
      <c r="L75" s="339">
        <v>4</v>
      </c>
      <c r="M75" s="339">
        <v>63.75</v>
      </c>
      <c r="N75" s="302">
        <v>14</v>
      </c>
      <c r="O75" s="9">
        <v>278.08</v>
      </c>
      <c r="P75" s="302">
        <v>8</v>
      </c>
      <c r="Q75" s="9">
        <v>160</v>
      </c>
      <c r="R75" s="234">
        <v>13</v>
      </c>
      <c r="S75" s="234">
        <v>260</v>
      </c>
      <c r="T75" s="171">
        <v>12</v>
      </c>
      <c r="U75" s="191">
        <v>210</v>
      </c>
      <c r="V75" s="171">
        <f>117</f>
        <v>117</v>
      </c>
      <c r="W75" s="191">
        <f>695</f>
        <v>695</v>
      </c>
      <c r="X75" s="326">
        <v>4</v>
      </c>
      <c r="Y75" s="326">
        <v>35</v>
      </c>
      <c r="Z75" s="171">
        <v>1</v>
      </c>
      <c r="AA75" s="171">
        <v>5</v>
      </c>
      <c r="AB75" s="172">
        <f t="shared" si="18"/>
        <v>342</v>
      </c>
      <c r="AC75" s="303">
        <f t="shared" si="19"/>
        <v>3268.83</v>
      </c>
      <c r="AD75" s="304">
        <f t="shared" si="20"/>
        <v>-0.101075268817204</v>
      </c>
      <c r="AE75" s="305">
        <f t="shared" si="21"/>
        <v>-1.00537634408602</v>
      </c>
      <c r="AF75" s="309">
        <f t="shared" si="16"/>
        <v>0.00162975105790858</v>
      </c>
      <c r="AG75" s="194">
        <f t="shared" si="17"/>
        <v>0.0028135264655319</v>
      </c>
      <c r="AH75" s="157"/>
      <c r="AI75" s="157"/>
      <c r="AJ75" s="157"/>
      <c r="AK75" s="157"/>
    </row>
    <row r="76" s="28" customFormat="1" customHeight="1" spans="1:37">
      <c r="A76" s="182"/>
      <c r="B76" s="190"/>
      <c r="C76" s="223" t="s">
        <v>165</v>
      </c>
      <c r="D76" s="362"/>
      <c r="E76" s="362"/>
      <c r="F76" s="362"/>
      <c r="G76" s="362"/>
      <c r="H76" s="362"/>
      <c r="I76" s="362"/>
      <c r="J76" s="362"/>
      <c r="K76" s="362"/>
      <c r="L76" s="234"/>
      <c r="M76" s="372"/>
      <c r="N76" s="234"/>
      <c r="O76" s="372"/>
      <c r="P76" s="234"/>
      <c r="Q76" s="234"/>
      <c r="R76" s="234"/>
      <c r="S76" s="234"/>
      <c r="T76" s="171"/>
      <c r="U76" s="191"/>
      <c r="V76" s="171"/>
      <c r="W76" s="191"/>
      <c r="X76" s="326"/>
      <c r="Y76" s="326"/>
      <c r="Z76" s="171">
        <v>9</v>
      </c>
      <c r="AA76" s="171">
        <v>1320.43</v>
      </c>
      <c r="AB76" s="172">
        <f t="shared" si="18"/>
        <v>9</v>
      </c>
      <c r="AC76" s="303">
        <f t="shared" si="19"/>
        <v>1320.43</v>
      </c>
      <c r="AD76" s="304">
        <f t="shared" si="20"/>
        <v>0.290322580645161</v>
      </c>
      <c r="AE76" s="305">
        <f t="shared" si="21"/>
        <v>42.5945161290323</v>
      </c>
      <c r="AF76" s="309">
        <f t="shared" si="16"/>
        <v>4.28881857344364e-5</v>
      </c>
      <c r="AG76" s="194">
        <f t="shared" si="17"/>
        <v>0.00113651207033779</v>
      </c>
      <c r="AH76" s="157"/>
      <c r="AI76" s="157"/>
      <c r="AJ76" s="157"/>
      <c r="AK76" s="157"/>
    </row>
    <row r="77" s="28" customFormat="1" customHeight="1" spans="1:37">
      <c r="A77" s="182"/>
      <c r="B77" s="190"/>
      <c r="C77" s="223" t="s">
        <v>142</v>
      </c>
      <c r="D77" s="362"/>
      <c r="E77" s="362"/>
      <c r="F77" s="362"/>
      <c r="G77" s="362"/>
      <c r="H77" s="362"/>
      <c r="I77" s="362"/>
      <c r="J77" s="362"/>
      <c r="K77" s="362"/>
      <c r="L77" s="234">
        <v>151</v>
      </c>
      <c r="M77" s="372">
        <v>196.31</v>
      </c>
      <c r="N77" s="234">
        <v>1602</v>
      </c>
      <c r="O77" s="372">
        <v>4267.44</v>
      </c>
      <c r="P77" s="234">
        <v>1693</v>
      </c>
      <c r="Q77" s="234">
        <v>5169.24</v>
      </c>
      <c r="R77" s="234">
        <v>1323</v>
      </c>
      <c r="S77" s="234">
        <v>4634.64</v>
      </c>
      <c r="T77" s="171">
        <f>765+52</f>
        <v>817</v>
      </c>
      <c r="U77" s="191">
        <f>2055.46+565.12</f>
        <v>2620.58</v>
      </c>
      <c r="V77" s="171">
        <f>352</f>
        <v>352</v>
      </c>
      <c r="W77" s="191">
        <f>1119</f>
        <v>1119</v>
      </c>
      <c r="X77" s="326">
        <v>0</v>
      </c>
      <c r="Y77" s="326">
        <v>0</v>
      </c>
      <c r="Z77" s="171">
        <v>0</v>
      </c>
      <c r="AA77" s="171">
        <v>0</v>
      </c>
      <c r="AB77" s="172">
        <f t="shared" si="18"/>
        <v>5938</v>
      </c>
      <c r="AC77" s="303">
        <f t="shared" si="19"/>
        <v>18007.21</v>
      </c>
      <c r="AD77" s="304">
        <f t="shared" si="20"/>
        <v>0</v>
      </c>
      <c r="AE77" s="305">
        <f t="shared" si="21"/>
        <v>0</v>
      </c>
      <c r="AF77" s="309">
        <f t="shared" si="16"/>
        <v>0.028296671876787</v>
      </c>
      <c r="AG77" s="194">
        <f t="shared" si="17"/>
        <v>0.0154990507017467</v>
      </c>
      <c r="AH77" s="157"/>
      <c r="AI77" s="157"/>
      <c r="AJ77" s="157"/>
      <c r="AK77" s="157"/>
    </row>
    <row r="78" s="28" customFormat="1" customHeight="1" spans="1:37">
      <c r="A78" s="182"/>
      <c r="B78" s="190"/>
      <c r="C78" s="223" t="s">
        <v>158</v>
      </c>
      <c r="D78" s="362"/>
      <c r="E78" s="362"/>
      <c r="F78" s="362"/>
      <c r="G78" s="362"/>
      <c r="H78" s="362"/>
      <c r="I78" s="362"/>
      <c r="J78" s="362"/>
      <c r="K78" s="362"/>
      <c r="L78" s="373">
        <v>371</v>
      </c>
      <c r="M78" s="374">
        <v>48.39</v>
      </c>
      <c r="N78" s="373">
        <v>2541</v>
      </c>
      <c r="O78" s="374">
        <v>258.3</v>
      </c>
      <c r="P78" s="234">
        <f>207+2928</f>
        <v>3135</v>
      </c>
      <c r="Q78" s="234">
        <f>18.77+270.75</f>
        <v>289.52</v>
      </c>
      <c r="R78" s="234">
        <f>1694+2372</f>
        <v>4066</v>
      </c>
      <c r="S78" s="234">
        <f>147.73+182.2</f>
        <v>329.93</v>
      </c>
      <c r="T78" s="171">
        <f>1636+882</f>
        <v>2518</v>
      </c>
      <c r="U78" s="191">
        <f>204.82+118.05</f>
        <v>322.87</v>
      </c>
      <c r="V78" s="171">
        <f>843+2472</f>
        <v>3315</v>
      </c>
      <c r="W78" s="191">
        <f>92.63+286.31</f>
        <v>378.94</v>
      </c>
      <c r="X78" s="326">
        <v>2838</v>
      </c>
      <c r="Y78" s="326">
        <v>319.41</v>
      </c>
      <c r="Z78" s="171">
        <v>4098</v>
      </c>
      <c r="AA78" s="191">
        <v>391.37</v>
      </c>
      <c r="AB78" s="172">
        <f t="shared" si="18"/>
        <v>22882</v>
      </c>
      <c r="AC78" s="303">
        <f t="shared" si="19"/>
        <v>2338.73</v>
      </c>
      <c r="AD78" s="304">
        <f t="shared" si="20"/>
        <v>37.5935483870968</v>
      </c>
      <c r="AE78" s="305">
        <f t="shared" si="21"/>
        <v>1.97783870967742</v>
      </c>
      <c r="AF78" s="309">
        <f t="shared" si="16"/>
        <v>0.109040829552819</v>
      </c>
      <c r="AG78" s="194">
        <f t="shared" si="17"/>
        <v>0.00201297673807858</v>
      </c>
      <c r="AH78" s="157"/>
      <c r="AI78" s="157"/>
      <c r="AJ78" s="157"/>
      <c r="AK78" s="157"/>
    </row>
    <row r="79" s="28" customFormat="1" customHeight="1" spans="1:37">
      <c r="A79" s="182"/>
      <c r="B79" s="197"/>
      <c r="C79" s="375" t="s">
        <v>137</v>
      </c>
      <c r="D79" s="376"/>
      <c r="E79" s="376"/>
      <c r="F79" s="376"/>
      <c r="G79" s="376"/>
      <c r="H79" s="376"/>
      <c r="I79" s="376"/>
      <c r="J79" s="376"/>
      <c r="K79" s="376"/>
      <c r="L79" s="364"/>
      <c r="M79" s="365"/>
      <c r="N79" s="364"/>
      <c r="O79" s="365"/>
      <c r="P79" s="364"/>
      <c r="Q79" s="364"/>
      <c r="R79" s="364"/>
      <c r="S79" s="364"/>
      <c r="T79" s="199"/>
      <c r="U79" s="200">
        <v>1984.41</v>
      </c>
      <c r="V79" s="199"/>
      <c r="W79" s="200">
        <v>3372.71</v>
      </c>
      <c r="X79" s="199"/>
      <c r="Y79" s="200">
        <v>2770.15</v>
      </c>
      <c r="Z79" s="199"/>
      <c r="AA79" s="200">
        <v>4221.02</v>
      </c>
      <c r="AB79" s="201">
        <f t="shared" si="18"/>
        <v>0</v>
      </c>
      <c r="AC79" s="314">
        <f t="shared" si="19"/>
        <v>12348.29</v>
      </c>
      <c r="AD79" s="315">
        <f t="shared" si="20"/>
        <v>0</v>
      </c>
      <c r="AE79" s="333">
        <f t="shared" si="21"/>
        <v>43.8236021505377</v>
      </c>
      <c r="AF79" s="334">
        <f t="shared" si="16"/>
        <v>0</v>
      </c>
      <c r="AG79" s="203">
        <f t="shared" si="17"/>
        <v>0.0106283412471933</v>
      </c>
      <c r="AH79" s="157"/>
      <c r="AI79" s="157"/>
      <c r="AJ79" s="157"/>
      <c r="AK79" s="157"/>
    </row>
    <row r="80" s="28" customFormat="1" customHeight="1" spans="1:37">
      <c r="A80" s="182"/>
      <c r="B80" s="204" t="s">
        <v>36</v>
      </c>
      <c r="C80" s="377" t="s">
        <v>121</v>
      </c>
      <c r="D80" s="378">
        <v>15190</v>
      </c>
      <c r="E80" s="378">
        <v>91457.11</v>
      </c>
      <c r="F80" s="378">
        <v>15026</v>
      </c>
      <c r="G80" s="378">
        <v>90666.37</v>
      </c>
      <c r="H80" s="378">
        <v>14939</v>
      </c>
      <c r="I80" s="378">
        <v>89268.29</v>
      </c>
      <c r="J80" s="378">
        <v>15726</v>
      </c>
      <c r="K80" s="378">
        <v>94175.12</v>
      </c>
      <c r="L80" s="369">
        <f>5+16133</f>
        <v>16138</v>
      </c>
      <c r="M80" s="370">
        <f>75+97122.6</f>
        <v>97197.6</v>
      </c>
      <c r="N80" s="369">
        <f>136+16384</f>
        <v>16520</v>
      </c>
      <c r="O80" s="370">
        <f>1700.69+99130.4</f>
        <v>100831.09</v>
      </c>
      <c r="P80" s="369">
        <f>17799+144+69</f>
        <v>18012</v>
      </c>
      <c r="Q80" s="369">
        <f>1724.57+105779.25+598.85</f>
        <v>108102.67</v>
      </c>
      <c r="R80" s="369">
        <f>238+16256</f>
        <v>16494</v>
      </c>
      <c r="S80" s="369">
        <f>1877.31+97058.69</f>
        <v>98936</v>
      </c>
      <c r="T80" s="185">
        <f>13896+610+205</f>
        <v>14711</v>
      </c>
      <c r="U80" s="186">
        <f>80226.64+3738.9+1335.8</f>
        <v>85301.34</v>
      </c>
      <c r="V80" s="185">
        <f>14182+22+481+449+10</f>
        <v>15144</v>
      </c>
      <c r="W80" s="185">
        <f>82468.72+204.09+3119.12+2950.9+82.7</f>
        <v>88825.53</v>
      </c>
      <c r="X80" s="321">
        <v>9890</v>
      </c>
      <c r="Y80" s="321">
        <v>52347</v>
      </c>
      <c r="Z80" s="185">
        <v>9524</v>
      </c>
      <c r="AA80" s="186">
        <v>50277.85</v>
      </c>
      <c r="AB80" s="187">
        <f t="shared" si="18"/>
        <v>177314</v>
      </c>
      <c r="AC80" s="322">
        <f t="shared" si="19"/>
        <v>1047385.97</v>
      </c>
      <c r="AD80" s="323">
        <f t="shared" si="20"/>
        <v>-22.4408602150538</v>
      </c>
      <c r="AE80" s="324">
        <f t="shared" si="21"/>
        <v>-123.033870967742</v>
      </c>
      <c r="AF80" s="341">
        <f>AB80/SUM($AB$80:$AB$95)</f>
        <v>0.329114393952049</v>
      </c>
      <c r="AG80" s="278">
        <f>AC80/SUM($AC$80:$AC$95)</f>
        <v>0.382517266636699</v>
      </c>
      <c r="AH80" s="157">
        <f>AG80+AG81+AG87</f>
        <v>0.439257586344998</v>
      </c>
      <c r="AI80" s="157">
        <f>AG83</f>
        <v>0.16531356644802</v>
      </c>
      <c r="AJ80" s="157">
        <f>AG82</f>
        <v>0.0632621548178701</v>
      </c>
      <c r="AK80" s="157">
        <f>AG85+AG84</f>
        <v>0.223131332744639</v>
      </c>
    </row>
    <row r="81" s="28" customFormat="1" customHeight="1" spans="1:37">
      <c r="A81" s="182"/>
      <c r="B81" s="208"/>
      <c r="C81" s="231" t="s">
        <v>122</v>
      </c>
      <c r="D81" s="342"/>
      <c r="E81" s="342"/>
      <c r="F81" s="342"/>
      <c r="G81" s="342"/>
      <c r="H81" s="342"/>
      <c r="I81" s="342"/>
      <c r="J81" s="342"/>
      <c r="K81" s="342"/>
      <c r="L81" s="234"/>
      <c r="M81" s="372"/>
      <c r="N81" s="234"/>
      <c r="O81" s="372"/>
      <c r="P81" s="234"/>
      <c r="Q81" s="234"/>
      <c r="R81" s="234"/>
      <c r="S81" s="234"/>
      <c r="T81" s="171"/>
      <c r="U81" s="191"/>
      <c r="V81" s="171"/>
      <c r="W81" s="171"/>
      <c r="X81" s="326">
        <v>5786</v>
      </c>
      <c r="Y81" s="326">
        <v>41361.49</v>
      </c>
      <c r="Z81" s="171">
        <v>5092</v>
      </c>
      <c r="AA81" s="191">
        <v>35085.36</v>
      </c>
      <c r="AB81" s="172">
        <f t="shared" si="18"/>
        <v>10878</v>
      </c>
      <c r="AC81" s="303">
        <f t="shared" si="19"/>
        <v>76446.85</v>
      </c>
      <c r="AD81" s="304">
        <f t="shared" si="20"/>
        <v>-28.6086021505376</v>
      </c>
      <c r="AE81" s="305">
        <f t="shared" si="21"/>
        <v>-246.93052688172</v>
      </c>
      <c r="AF81" s="340">
        <f t="shared" ref="AF81:AF95" si="22">AB81/SUM($AB$80:$AB$95)</f>
        <v>0.0201907710469021</v>
      </c>
      <c r="AG81" s="275">
        <f t="shared" ref="AG81:AG95" si="23">AC81/SUM($AC$80:$AC$95)</f>
        <v>0.0279192589385036</v>
      </c>
      <c r="AH81" s="157"/>
      <c r="AI81" s="157"/>
      <c r="AJ81" s="157"/>
      <c r="AK81" s="157"/>
    </row>
    <row r="82" s="28" customFormat="1" customHeight="1" spans="1:37">
      <c r="A82" s="182"/>
      <c r="B82" s="208"/>
      <c r="C82" s="231" t="s">
        <v>166</v>
      </c>
      <c r="D82" s="342">
        <v>4629</v>
      </c>
      <c r="E82" s="342">
        <v>12428.46</v>
      </c>
      <c r="F82" s="342">
        <v>4892</v>
      </c>
      <c r="G82" s="342">
        <v>13332.4</v>
      </c>
      <c r="H82" s="342">
        <v>4422</v>
      </c>
      <c r="I82" s="342">
        <v>11726.93</v>
      </c>
      <c r="J82" s="342">
        <v>5299</v>
      </c>
      <c r="K82" s="342">
        <v>13623.35</v>
      </c>
      <c r="L82" s="234">
        <v>5418</v>
      </c>
      <c r="M82" s="372">
        <v>14292.64</v>
      </c>
      <c r="N82" s="234">
        <v>5537</v>
      </c>
      <c r="O82" s="372">
        <v>14587.07</v>
      </c>
      <c r="P82" s="234">
        <f>84+6586</f>
        <v>6670</v>
      </c>
      <c r="Q82" s="234">
        <f>171.37+17197.91</f>
        <v>17369.28</v>
      </c>
      <c r="R82" s="234">
        <f>177+5937</f>
        <v>6114</v>
      </c>
      <c r="S82" s="234">
        <f>347.02+15550.35</f>
        <v>15897.37</v>
      </c>
      <c r="T82" s="171">
        <f>5078+178</f>
        <v>5256</v>
      </c>
      <c r="U82" s="191">
        <f>13079.15+323.5</f>
        <v>13402.65</v>
      </c>
      <c r="V82" s="171">
        <f>794+4357+410</f>
        <v>5561</v>
      </c>
      <c r="W82" s="171">
        <f>1571.49+11808.44+883.07</f>
        <v>14263</v>
      </c>
      <c r="X82" s="326">
        <v>6009</v>
      </c>
      <c r="Y82" s="326">
        <v>15363.91</v>
      </c>
      <c r="Z82" s="171">
        <v>6606</v>
      </c>
      <c r="AA82" s="191">
        <v>16933.6</v>
      </c>
      <c r="AB82" s="172">
        <f t="shared" si="18"/>
        <v>66413</v>
      </c>
      <c r="AC82" s="303">
        <f t="shared" si="19"/>
        <v>173220.66</v>
      </c>
      <c r="AD82" s="304">
        <f t="shared" si="20"/>
        <v>12.7967741935484</v>
      </c>
      <c r="AE82" s="305">
        <f t="shared" si="21"/>
        <v>34.1148279569893</v>
      </c>
      <c r="AF82" s="340">
        <f t="shared" si="22"/>
        <v>0.123269872912108</v>
      </c>
      <c r="AG82" s="275">
        <f t="shared" si="23"/>
        <v>0.0632621548178701</v>
      </c>
      <c r="AH82" s="157"/>
      <c r="AI82" s="157"/>
      <c r="AJ82" s="157"/>
      <c r="AK82" s="157"/>
    </row>
    <row r="83" s="28" customFormat="1" customHeight="1" spans="1:37">
      <c r="A83" s="182"/>
      <c r="B83" s="208"/>
      <c r="C83" s="379" t="s">
        <v>120</v>
      </c>
      <c r="D83" s="342">
        <v>9770</v>
      </c>
      <c r="E83" s="342">
        <v>36790.51</v>
      </c>
      <c r="F83" s="342">
        <v>9797</v>
      </c>
      <c r="G83" s="342">
        <v>35975.18</v>
      </c>
      <c r="H83" s="342">
        <v>9576</v>
      </c>
      <c r="I83" s="342">
        <v>35480.54</v>
      </c>
      <c r="J83" s="342">
        <v>10860</v>
      </c>
      <c r="K83" s="342">
        <v>36844.69</v>
      </c>
      <c r="L83" s="234">
        <f>11853-42</f>
        <v>11811</v>
      </c>
      <c r="M83" s="372">
        <f>39158.12-346.31</f>
        <v>38811.81</v>
      </c>
      <c r="N83" s="234">
        <v>12266</v>
      </c>
      <c r="O83" s="372">
        <v>39238.11</v>
      </c>
      <c r="P83" s="234">
        <f>144+13816+73</f>
        <v>14033</v>
      </c>
      <c r="Q83" s="234">
        <f>301.87+43241.69+103.34</f>
        <v>43646.9</v>
      </c>
      <c r="R83" s="234">
        <f>653+13352+15</f>
        <v>14020</v>
      </c>
      <c r="S83" s="234">
        <f>984.41+43419.94+108.27</f>
        <v>44512.62</v>
      </c>
      <c r="T83" s="171">
        <f>9012+797+502</f>
        <v>10311</v>
      </c>
      <c r="U83" s="191">
        <f>33278.79+2384.47+573.94</f>
        <v>36237.2</v>
      </c>
      <c r="V83" s="171">
        <f>10143+1279</f>
        <v>11422</v>
      </c>
      <c r="W83" s="171">
        <f>37881.61+2227.12</f>
        <v>40108.73</v>
      </c>
      <c r="X83" s="326">
        <v>12032</v>
      </c>
      <c r="Y83" s="326">
        <v>28714.28</v>
      </c>
      <c r="Z83" s="171">
        <v>13182</v>
      </c>
      <c r="AA83" s="191">
        <v>36291.18</v>
      </c>
      <c r="AB83" s="172">
        <f t="shared" si="18"/>
        <v>139080</v>
      </c>
      <c r="AC83" s="303">
        <f t="shared" si="19"/>
        <v>452651.75</v>
      </c>
      <c r="AD83" s="304">
        <f t="shared" si="20"/>
        <v>24.1591397849463</v>
      </c>
      <c r="AE83" s="307">
        <f t="shared" si="21"/>
        <v>213.540559139785</v>
      </c>
      <c r="AF83" s="340">
        <f t="shared" si="22"/>
        <v>0.258147861482179</v>
      </c>
      <c r="AG83" s="280">
        <f t="shared" si="23"/>
        <v>0.16531356644802</v>
      </c>
      <c r="AH83" s="157"/>
      <c r="AI83" s="157"/>
      <c r="AJ83" s="157"/>
      <c r="AK83" s="157"/>
    </row>
    <row r="84" s="28" customFormat="1" customHeight="1" spans="1:37">
      <c r="A84" s="182"/>
      <c r="B84" s="208"/>
      <c r="C84" s="379" t="s">
        <v>126</v>
      </c>
      <c r="D84" s="342">
        <v>861</v>
      </c>
      <c r="E84" s="342">
        <v>10010.86</v>
      </c>
      <c r="F84" s="342">
        <v>859</v>
      </c>
      <c r="G84" s="342">
        <v>9890.8</v>
      </c>
      <c r="H84" s="342">
        <v>924</v>
      </c>
      <c r="I84" s="342">
        <v>10535.82</v>
      </c>
      <c r="J84" s="342">
        <v>1069</v>
      </c>
      <c r="K84" s="342">
        <v>11774.47</v>
      </c>
      <c r="L84" s="234">
        <v>1000</v>
      </c>
      <c r="M84" s="372">
        <v>10780.2</v>
      </c>
      <c r="N84" s="234">
        <v>1109</v>
      </c>
      <c r="O84" s="372">
        <v>11651.7</v>
      </c>
      <c r="P84" s="234">
        <f>37+1003</f>
        <v>1040</v>
      </c>
      <c r="Q84" s="234">
        <f>375.63+9939.02</f>
        <v>10314.65</v>
      </c>
      <c r="R84" s="234">
        <f>75+983</f>
        <v>1058</v>
      </c>
      <c r="S84" s="234">
        <f>716.81+10198.11</f>
        <v>10914.92</v>
      </c>
      <c r="T84" s="171">
        <f>1007+99</f>
        <v>1106</v>
      </c>
      <c r="U84" s="191">
        <f>10075.77+934.51</f>
        <v>11010.28</v>
      </c>
      <c r="V84" s="171">
        <f>748+149+185</f>
        <v>1082</v>
      </c>
      <c r="W84" s="171">
        <f>8111.58+1096.54+1742.57</f>
        <v>10950.69</v>
      </c>
      <c r="X84" s="326">
        <v>1128</v>
      </c>
      <c r="Y84" s="326">
        <v>11472.97</v>
      </c>
      <c r="Z84" s="171">
        <v>1517</v>
      </c>
      <c r="AA84" s="191">
        <v>15275.7</v>
      </c>
      <c r="AB84" s="172">
        <f t="shared" si="18"/>
        <v>12753</v>
      </c>
      <c r="AC84" s="303">
        <f t="shared" si="19"/>
        <v>134583.06</v>
      </c>
      <c r="AD84" s="304">
        <f t="shared" si="20"/>
        <v>11.3354838709677</v>
      </c>
      <c r="AE84" s="307">
        <f t="shared" si="21"/>
        <v>110.332182795699</v>
      </c>
      <c r="AF84" s="340">
        <f t="shared" si="22"/>
        <v>0.0236709784115777</v>
      </c>
      <c r="AG84" s="275">
        <f t="shared" si="23"/>
        <v>0.0491512639288102</v>
      </c>
      <c r="AH84" s="157"/>
      <c r="AI84" s="157"/>
      <c r="AJ84" s="157"/>
      <c r="AK84" s="157"/>
    </row>
    <row r="85" s="28" customFormat="1" customHeight="1" spans="1:37">
      <c r="A85" s="182"/>
      <c r="B85" s="208"/>
      <c r="C85" s="379" t="s">
        <v>167</v>
      </c>
      <c r="D85" s="342">
        <v>1904</v>
      </c>
      <c r="E85" s="342">
        <v>30134.81</v>
      </c>
      <c r="F85" s="342">
        <v>1844</v>
      </c>
      <c r="G85" s="342">
        <v>29073.55</v>
      </c>
      <c r="H85" s="342">
        <v>2113</v>
      </c>
      <c r="I85" s="342">
        <v>33295.26</v>
      </c>
      <c r="J85" s="342">
        <v>2566</v>
      </c>
      <c r="K85" s="342">
        <v>39074.69</v>
      </c>
      <c r="L85" s="234">
        <v>2948</v>
      </c>
      <c r="M85" s="372">
        <v>38920.6</v>
      </c>
      <c r="N85" s="234">
        <v>4063</v>
      </c>
      <c r="O85" s="372">
        <v>42422.51</v>
      </c>
      <c r="P85" s="234">
        <f>56+3971</f>
        <v>4027</v>
      </c>
      <c r="Q85" s="234">
        <f>786.54+39235.54</f>
        <v>40022.08</v>
      </c>
      <c r="R85" s="234">
        <f>166+2390</f>
        <v>2556</v>
      </c>
      <c r="S85" s="234">
        <f>2199.07+34650</f>
        <v>36849.07</v>
      </c>
      <c r="T85" s="171">
        <f>3015+154+2</f>
        <v>3171</v>
      </c>
      <c r="U85" s="191">
        <f>43663.94+1991.03+32.24</f>
        <v>45687.21</v>
      </c>
      <c r="V85" s="171">
        <f>3000+17+466+21</f>
        <v>3504</v>
      </c>
      <c r="W85" s="171">
        <f>43503.2+212.66+6049.58+324.41</f>
        <v>50089.85</v>
      </c>
      <c r="X85" s="326">
        <v>3287</v>
      </c>
      <c r="Y85" s="326">
        <v>47117.18</v>
      </c>
      <c r="Z85" s="171">
        <v>3086</v>
      </c>
      <c r="AA85" s="191">
        <v>43695.04</v>
      </c>
      <c r="AB85" s="172">
        <f t="shared" si="18"/>
        <v>35069</v>
      </c>
      <c r="AC85" s="303">
        <f t="shared" si="19"/>
        <v>476381.85</v>
      </c>
      <c r="AD85" s="304">
        <f t="shared" si="20"/>
        <v>-10.0182795698925</v>
      </c>
      <c r="AE85" s="305">
        <f t="shared" si="21"/>
        <v>-161.055247311828</v>
      </c>
      <c r="AF85" s="340">
        <f t="shared" si="22"/>
        <v>0.0650919424382982</v>
      </c>
      <c r="AG85" s="278">
        <f t="shared" si="23"/>
        <v>0.173980068815829</v>
      </c>
      <c r="AH85" s="157"/>
      <c r="AI85" s="157"/>
      <c r="AJ85" s="157"/>
      <c r="AK85" s="157"/>
    </row>
    <row r="86" s="28" customFormat="1" customHeight="1" spans="1:37">
      <c r="A86" s="182"/>
      <c r="B86" s="208"/>
      <c r="C86" s="231" t="s">
        <v>168</v>
      </c>
      <c r="D86" s="342"/>
      <c r="E86" s="342"/>
      <c r="F86" s="342"/>
      <c r="G86" s="342"/>
      <c r="H86" s="342"/>
      <c r="I86" s="342"/>
      <c r="J86" s="342"/>
      <c r="K86" s="342"/>
      <c r="L86" s="234"/>
      <c r="M86" s="372"/>
      <c r="N86" s="234"/>
      <c r="O86" s="372"/>
      <c r="P86" s="234">
        <f>4+66</f>
        <v>70</v>
      </c>
      <c r="Q86" s="234">
        <f>25.85+379.12</f>
        <v>404.97</v>
      </c>
      <c r="R86" s="234">
        <f>37+210</f>
        <v>247</v>
      </c>
      <c r="S86" s="234">
        <f>233.1+1194.64</f>
        <v>1427.74</v>
      </c>
      <c r="T86" s="171">
        <f>196+49</f>
        <v>245</v>
      </c>
      <c r="U86" s="191">
        <f>911.64+250.86</f>
        <v>1162.5</v>
      </c>
      <c r="V86" s="171">
        <f>74+56</f>
        <v>130</v>
      </c>
      <c r="W86" s="171">
        <f>430.05+429.61</f>
        <v>859.66</v>
      </c>
      <c r="X86" s="326">
        <v>0</v>
      </c>
      <c r="Y86" s="326">
        <v>0</v>
      </c>
      <c r="Z86" s="171">
        <v>0</v>
      </c>
      <c r="AA86" s="191">
        <v>0</v>
      </c>
      <c r="AB86" s="172">
        <f t="shared" si="18"/>
        <v>692</v>
      </c>
      <c r="AC86" s="303">
        <f t="shared" si="19"/>
        <v>3854.87</v>
      </c>
      <c r="AD86" s="304">
        <f t="shared" si="20"/>
        <v>0</v>
      </c>
      <c r="AE86" s="305">
        <f t="shared" si="21"/>
        <v>0</v>
      </c>
      <c r="AF86" s="340">
        <f t="shared" si="22"/>
        <v>0.00128442853138961</v>
      </c>
      <c r="AG86" s="275">
        <f t="shared" si="23"/>
        <v>0.00140784235981299</v>
      </c>
      <c r="AH86" s="157"/>
      <c r="AI86" s="157"/>
      <c r="AJ86" s="157"/>
      <c r="AK86" s="157"/>
    </row>
    <row r="87" s="28" customFormat="1" customHeight="1" spans="1:37">
      <c r="A87" s="182"/>
      <c r="B87" s="208"/>
      <c r="C87" s="231" t="s">
        <v>133</v>
      </c>
      <c r="D87" s="342">
        <v>720</v>
      </c>
      <c r="E87" s="342">
        <v>8799.08</v>
      </c>
      <c r="F87" s="342">
        <v>662</v>
      </c>
      <c r="G87" s="342">
        <v>8436.56</v>
      </c>
      <c r="H87" s="342">
        <v>651</v>
      </c>
      <c r="I87" s="342">
        <v>8489.9</v>
      </c>
      <c r="J87" s="342">
        <v>653</v>
      </c>
      <c r="K87" s="342">
        <v>8410.5</v>
      </c>
      <c r="L87" s="234">
        <v>454</v>
      </c>
      <c r="M87" s="372">
        <v>6172.66</v>
      </c>
      <c r="N87" s="234">
        <v>400</v>
      </c>
      <c r="O87" s="372">
        <v>5269.83</v>
      </c>
      <c r="P87" s="234">
        <f>2+404</f>
        <v>406</v>
      </c>
      <c r="Q87" s="234">
        <f>19.92+5292.87</f>
        <v>5312.79</v>
      </c>
      <c r="R87" s="234">
        <v>329</v>
      </c>
      <c r="S87" s="234">
        <v>4641.55</v>
      </c>
      <c r="T87" s="171">
        <f>392</f>
        <v>392</v>
      </c>
      <c r="U87" s="191">
        <f>5580.46</f>
        <v>5580.46</v>
      </c>
      <c r="V87" s="171">
        <f>367</f>
        <v>367</v>
      </c>
      <c r="W87" s="171">
        <f>5233.23</f>
        <v>5233.23</v>
      </c>
      <c r="X87" s="326">
        <v>429</v>
      </c>
      <c r="Y87" s="326">
        <v>6078.75</v>
      </c>
      <c r="Z87" s="171">
        <v>497</v>
      </c>
      <c r="AA87" s="191">
        <v>6490.8</v>
      </c>
      <c r="AB87" s="172">
        <f t="shared" si="18"/>
        <v>5960</v>
      </c>
      <c r="AC87" s="303">
        <f t="shared" si="19"/>
        <v>78916.11</v>
      </c>
      <c r="AD87" s="304">
        <f t="shared" si="20"/>
        <v>1.73225806451613</v>
      </c>
      <c r="AE87" s="305">
        <f t="shared" si="21"/>
        <v>6.75564516129032</v>
      </c>
      <c r="AF87" s="340">
        <f t="shared" si="22"/>
        <v>0.0110624191431822</v>
      </c>
      <c r="AG87" s="275">
        <f t="shared" si="23"/>
        <v>0.0288210607697954</v>
      </c>
      <c r="AH87" s="157"/>
      <c r="AI87" s="157"/>
      <c r="AJ87" s="157"/>
      <c r="AK87" s="157"/>
    </row>
    <row r="88" s="28" customFormat="1" customHeight="1" spans="1:37">
      <c r="A88" s="182"/>
      <c r="B88" s="208"/>
      <c r="C88" s="231" t="s">
        <v>129</v>
      </c>
      <c r="D88" s="342">
        <v>289</v>
      </c>
      <c r="E88" s="342">
        <v>986.85</v>
      </c>
      <c r="F88" s="342">
        <v>292</v>
      </c>
      <c r="G88" s="342">
        <v>1068.44</v>
      </c>
      <c r="H88" s="342">
        <v>313</v>
      </c>
      <c r="I88" s="342">
        <v>874</v>
      </c>
      <c r="J88" s="342">
        <v>344</v>
      </c>
      <c r="K88" s="342">
        <v>1001</v>
      </c>
      <c r="L88" s="234">
        <v>309</v>
      </c>
      <c r="M88" s="372">
        <v>1110.88</v>
      </c>
      <c r="N88" s="234">
        <v>269</v>
      </c>
      <c r="O88" s="372">
        <v>830.72</v>
      </c>
      <c r="P88" s="234">
        <v>294</v>
      </c>
      <c r="Q88" s="234">
        <v>674.17</v>
      </c>
      <c r="R88" s="234">
        <v>356</v>
      </c>
      <c r="S88" s="234">
        <v>1004.05</v>
      </c>
      <c r="T88" s="171">
        <f>33+276</f>
        <v>309</v>
      </c>
      <c r="U88" s="191">
        <f>184.82+676.47</f>
        <v>861.29</v>
      </c>
      <c r="V88" s="171">
        <f>309+34</f>
        <v>343</v>
      </c>
      <c r="W88" s="171">
        <f>771.55+144.5</f>
        <v>916.05</v>
      </c>
      <c r="X88" s="326">
        <v>316</v>
      </c>
      <c r="Y88" s="326">
        <v>815.96</v>
      </c>
      <c r="Z88" s="171">
        <v>298</v>
      </c>
      <c r="AA88" s="191">
        <v>669.07</v>
      </c>
      <c r="AB88" s="172">
        <f t="shared" si="18"/>
        <v>3732</v>
      </c>
      <c r="AC88" s="303">
        <f t="shared" si="19"/>
        <v>10812.48</v>
      </c>
      <c r="AD88" s="304">
        <f t="shared" si="20"/>
        <v>-0.920430107526881</v>
      </c>
      <c r="AE88" s="305">
        <f t="shared" si="21"/>
        <v>-5.61576344086021</v>
      </c>
      <c r="AF88" s="340">
        <f t="shared" si="22"/>
        <v>0.00692700473865035</v>
      </c>
      <c r="AG88" s="275">
        <f t="shared" si="23"/>
        <v>0.00394884065056168</v>
      </c>
      <c r="AH88" s="157"/>
      <c r="AI88" s="157"/>
      <c r="AJ88" s="157"/>
      <c r="AK88" s="157"/>
    </row>
    <row r="89" s="28" customFormat="1" customHeight="1" spans="1:37">
      <c r="A89" s="182"/>
      <c r="B89" s="208"/>
      <c r="C89" s="379" t="s">
        <v>151</v>
      </c>
      <c r="D89" s="342">
        <v>828</v>
      </c>
      <c r="E89" s="342">
        <v>7700.27</v>
      </c>
      <c r="F89" s="342">
        <v>742</v>
      </c>
      <c r="G89" s="342">
        <v>6831.74</v>
      </c>
      <c r="H89" s="342">
        <v>884</v>
      </c>
      <c r="I89" s="342">
        <v>7629.65</v>
      </c>
      <c r="J89" s="342">
        <f>1261+43</f>
        <v>1304</v>
      </c>
      <c r="K89" s="342">
        <f>11147.06+470.45</f>
        <v>11617.51</v>
      </c>
      <c r="L89" s="234">
        <f>54+1747</f>
        <v>1801</v>
      </c>
      <c r="M89" s="372">
        <f>625.38+15739.63</f>
        <v>16365.01</v>
      </c>
      <c r="N89" s="234">
        <f>10+1353+96+1</f>
        <v>1460</v>
      </c>
      <c r="O89" s="372">
        <f>78+12485.9+1214.73+7.2</f>
        <v>13785.83</v>
      </c>
      <c r="P89" s="234">
        <f>176+1921+43+1</f>
        <v>2141</v>
      </c>
      <c r="Q89" s="234">
        <f>18092.51+2245.94+622.76+6.94</f>
        <v>20968.15</v>
      </c>
      <c r="R89" s="234">
        <f>128+1425+148</f>
        <v>1701</v>
      </c>
      <c r="S89" s="234">
        <f>1642.37+14164.21+2041.23</f>
        <v>17847.81</v>
      </c>
      <c r="T89" s="171">
        <f>95+926+94</f>
        <v>1115</v>
      </c>
      <c r="U89" s="191">
        <f>1133.09+9331.94+1107.72</f>
        <v>11572.75</v>
      </c>
      <c r="V89" s="171">
        <f>1042+9+291</f>
        <v>1342</v>
      </c>
      <c r="W89" s="171">
        <f>10372.9+97+3677.69</f>
        <v>14147.59</v>
      </c>
      <c r="X89" s="326">
        <v>1900</v>
      </c>
      <c r="Y89" s="326">
        <v>19077.33</v>
      </c>
      <c r="Z89" s="171">
        <v>3057</v>
      </c>
      <c r="AA89" s="191">
        <v>27172.64</v>
      </c>
      <c r="AB89" s="172">
        <f t="shared" si="18"/>
        <v>18275</v>
      </c>
      <c r="AC89" s="303">
        <f t="shared" si="19"/>
        <v>174716.28</v>
      </c>
      <c r="AD89" s="304">
        <f t="shared" si="20"/>
        <v>35.2795698924731</v>
      </c>
      <c r="AE89" s="307">
        <f t="shared" si="21"/>
        <v>240.625774193548</v>
      </c>
      <c r="AF89" s="340">
        <f t="shared" si="22"/>
        <v>0.0339204211143717</v>
      </c>
      <c r="AG89" s="275">
        <f t="shared" si="23"/>
        <v>0.0638083722493745</v>
      </c>
      <c r="AH89" s="157"/>
      <c r="AI89" s="157"/>
      <c r="AJ89" s="157"/>
      <c r="AK89" s="157"/>
    </row>
    <row r="90" s="28" customFormat="1" customHeight="1" spans="1:37">
      <c r="A90" s="182"/>
      <c r="B90" s="208"/>
      <c r="C90" s="231" t="s">
        <v>169</v>
      </c>
      <c r="D90" s="342">
        <v>1197</v>
      </c>
      <c r="E90" s="342">
        <v>3209.75</v>
      </c>
      <c r="F90" s="342">
        <v>1069</v>
      </c>
      <c r="G90" s="342">
        <v>2851.07</v>
      </c>
      <c r="H90" s="342">
        <v>1165</v>
      </c>
      <c r="I90" s="342">
        <v>3099.59</v>
      </c>
      <c r="J90" s="342">
        <v>1275</v>
      </c>
      <c r="K90" s="342">
        <v>3706.09</v>
      </c>
      <c r="L90" s="234">
        <v>1258</v>
      </c>
      <c r="M90" s="372">
        <v>3568.4</v>
      </c>
      <c r="N90" s="234">
        <v>1232</v>
      </c>
      <c r="O90" s="372">
        <v>3556.21</v>
      </c>
      <c r="P90" s="234">
        <v>1113</v>
      </c>
      <c r="Q90" s="234">
        <v>2890.61</v>
      </c>
      <c r="R90" s="234">
        <v>1097</v>
      </c>
      <c r="S90" s="234">
        <v>2824.23</v>
      </c>
      <c r="T90" s="234">
        <f>1092+16+10</f>
        <v>1118</v>
      </c>
      <c r="U90" s="191">
        <f>2796.97+35.28+25.11</f>
        <v>2857.36</v>
      </c>
      <c r="V90" s="234">
        <f>1153+27+2+36</f>
        <v>1218</v>
      </c>
      <c r="W90" s="234">
        <f>4811.09+139.65+7.1+146.45</f>
        <v>5104.29</v>
      </c>
      <c r="X90" s="326">
        <v>816</v>
      </c>
      <c r="Y90" s="326">
        <v>6658.82</v>
      </c>
      <c r="Z90" s="171">
        <v>678</v>
      </c>
      <c r="AA90" s="191">
        <v>5402.54</v>
      </c>
      <c r="AB90" s="172">
        <f t="shared" si="18"/>
        <v>13236</v>
      </c>
      <c r="AC90" s="303">
        <f t="shared" si="19"/>
        <v>45728.96</v>
      </c>
      <c r="AD90" s="304">
        <f t="shared" si="20"/>
        <v>-5.32903225806452</v>
      </c>
      <c r="AE90" s="305">
        <f t="shared" si="21"/>
        <v>-47.6851827956989</v>
      </c>
      <c r="AF90" s="340">
        <f t="shared" si="22"/>
        <v>0.0245674798287181</v>
      </c>
      <c r="AG90" s="275">
        <f t="shared" si="23"/>
        <v>0.0167007362007522</v>
      </c>
      <c r="AH90" s="157"/>
      <c r="AI90" s="157"/>
      <c r="AJ90" s="157"/>
      <c r="AK90" s="157"/>
    </row>
    <row r="91" s="28" customFormat="1" customHeight="1" spans="1:37">
      <c r="A91" s="182"/>
      <c r="B91" s="208"/>
      <c r="C91" s="235" t="s">
        <v>128</v>
      </c>
      <c r="D91" s="234">
        <v>401</v>
      </c>
      <c r="E91" s="234">
        <v>2926.2</v>
      </c>
      <c r="F91" s="234">
        <v>162</v>
      </c>
      <c r="G91" s="234">
        <v>791.6</v>
      </c>
      <c r="H91" s="234">
        <v>55</v>
      </c>
      <c r="I91" s="234">
        <v>263</v>
      </c>
      <c r="J91" s="234">
        <v>171</v>
      </c>
      <c r="K91" s="234">
        <v>999.87</v>
      </c>
      <c r="L91" s="234">
        <v>58</v>
      </c>
      <c r="M91" s="372">
        <v>386.8</v>
      </c>
      <c r="N91" s="234">
        <v>75</v>
      </c>
      <c r="O91" s="372">
        <v>392.8</v>
      </c>
      <c r="P91" s="234">
        <v>91</v>
      </c>
      <c r="Q91" s="234">
        <v>681.4</v>
      </c>
      <c r="R91" s="234">
        <v>100</v>
      </c>
      <c r="S91" s="234">
        <v>689.32</v>
      </c>
      <c r="T91" s="234">
        <f>110</f>
        <v>110</v>
      </c>
      <c r="U91" s="191">
        <f>684.48</f>
        <v>684.48</v>
      </c>
      <c r="V91" s="234">
        <v>163</v>
      </c>
      <c r="W91" s="234">
        <v>1037.85</v>
      </c>
      <c r="X91" s="326">
        <v>88</v>
      </c>
      <c r="Y91" s="326">
        <v>421.72</v>
      </c>
      <c r="Z91" s="171">
        <v>27</v>
      </c>
      <c r="AA91" s="191">
        <v>369</v>
      </c>
      <c r="AB91" s="172">
        <f t="shared" si="18"/>
        <v>1501</v>
      </c>
      <c r="AC91" s="303">
        <f t="shared" si="19"/>
        <v>9644.04</v>
      </c>
      <c r="AD91" s="304">
        <f t="shared" si="20"/>
        <v>-2.06236559139785</v>
      </c>
      <c r="AE91" s="305">
        <f t="shared" si="21"/>
        <v>-2.15410752688172</v>
      </c>
      <c r="AF91" s="340">
        <f t="shared" si="22"/>
        <v>0.00278602200233499</v>
      </c>
      <c r="AG91" s="275">
        <f t="shared" si="23"/>
        <v>0.00352211307559809</v>
      </c>
      <c r="AH91" s="157"/>
      <c r="AI91" s="157"/>
      <c r="AJ91" s="157"/>
      <c r="AK91" s="157"/>
    </row>
    <row r="92" s="28" customFormat="1" customHeight="1" spans="1:37">
      <c r="A92" s="182"/>
      <c r="B92" s="208"/>
      <c r="C92" s="235" t="s">
        <v>170</v>
      </c>
      <c r="D92" s="234"/>
      <c r="E92" s="234"/>
      <c r="F92" s="234"/>
      <c r="G92" s="234"/>
      <c r="H92" s="234"/>
      <c r="I92" s="234"/>
      <c r="J92" s="234">
        <v>456</v>
      </c>
      <c r="K92" s="234">
        <v>806.69</v>
      </c>
      <c r="L92" s="234">
        <v>1032</v>
      </c>
      <c r="M92" s="372">
        <v>2104.82</v>
      </c>
      <c r="N92" s="234">
        <v>1752</v>
      </c>
      <c r="O92" s="372">
        <v>3450.65</v>
      </c>
      <c r="P92" s="234">
        <v>3084</v>
      </c>
      <c r="Q92" s="234">
        <v>6364.22</v>
      </c>
      <c r="R92" s="234">
        <v>2458</v>
      </c>
      <c r="S92" s="234">
        <v>6509.99</v>
      </c>
      <c r="T92" s="234">
        <f>3501+90</f>
        <v>3591</v>
      </c>
      <c r="U92" s="191">
        <f>5710.24+260.53</f>
        <v>5970.77</v>
      </c>
      <c r="V92" s="234">
        <f>2866+45</f>
        <v>2911</v>
      </c>
      <c r="W92" s="234">
        <f>4979.03+78.78</f>
        <v>5057.81</v>
      </c>
      <c r="X92" s="326">
        <v>0</v>
      </c>
      <c r="Y92" s="326">
        <v>0</v>
      </c>
      <c r="Z92" s="171">
        <v>0</v>
      </c>
      <c r="AA92" s="191">
        <v>0</v>
      </c>
      <c r="AB92" s="172">
        <f t="shared" si="18"/>
        <v>15284</v>
      </c>
      <c r="AC92" s="303">
        <f t="shared" si="19"/>
        <v>30264.95</v>
      </c>
      <c r="AD92" s="304">
        <f t="shared" si="20"/>
        <v>0</v>
      </c>
      <c r="AE92" s="305">
        <f t="shared" si="21"/>
        <v>0</v>
      </c>
      <c r="AF92" s="340">
        <f t="shared" si="22"/>
        <v>0.0283687943262411</v>
      </c>
      <c r="AG92" s="275">
        <f t="shared" si="23"/>
        <v>0.0110531038991255</v>
      </c>
      <c r="AH92" s="157"/>
      <c r="AI92" s="157"/>
      <c r="AJ92" s="157"/>
      <c r="AK92" s="157"/>
    </row>
    <row r="93" s="28" customFormat="1" customHeight="1" spans="1:37">
      <c r="A93" s="182"/>
      <c r="B93" s="208"/>
      <c r="C93" s="235" t="s">
        <v>136</v>
      </c>
      <c r="D93" s="234"/>
      <c r="E93" s="234"/>
      <c r="F93" s="234"/>
      <c r="G93" s="234"/>
      <c r="H93" s="234"/>
      <c r="I93" s="234"/>
      <c r="J93" s="234">
        <v>1234</v>
      </c>
      <c r="K93" s="234">
        <v>57.15</v>
      </c>
      <c r="L93" s="234">
        <v>1489</v>
      </c>
      <c r="M93" s="372">
        <v>62.53</v>
      </c>
      <c r="N93" s="234">
        <v>1631</v>
      </c>
      <c r="O93" s="372">
        <v>51.77</v>
      </c>
      <c r="P93" s="234">
        <f>192+3099</f>
        <v>3291</v>
      </c>
      <c r="Q93" s="234">
        <f>8.75+107.25</f>
        <v>116</v>
      </c>
      <c r="R93" s="234">
        <f>1482+404</f>
        <v>1886</v>
      </c>
      <c r="S93" s="234">
        <f>18.36+103.32</f>
        <v>121.68</v>
      </c>
      <c r="T93" s="234">
        <f>184+3160+759</f>
        <v>4103</v>
      </c>
      <c r="U93" s="191">
        <f>8.41+273+62.78</f>
        <v>344.19</v>
      </c>
      <c r="V93" s="234">
        <f>2520+2467</f>
        <v>4987</v>
      </c>
      <c r="W93" s="234">
        <f>177.65+168.91</f>
        <v>346.56</v>
      </c>
      <c r="X93" s="326">
        <v>5255</v>
      </c>
      <c r="Y93" s="326">
        <v>306.43</v>
      </c>
      <c r="Z93" s="171">
        <v>6107</v>
      </c>
      <c r="AA93" s="191">
        <v>418.63</v>
      </c>
      <c r="AB93" s="172">
        <f t="shared" si="18"/>
        <v>29983</v>
      </c>
      <c r="AC93" s="303">
        <f t="shared" si="19"/>
        <v>1824.94</v>
      </c>
      <c r="AD93" s="304">
        <f t="shared" si="20"/>
        <v>21.8333333333333</v>
      </c>
      <c r="AE93" s="305">
        <f t="shared" si="21"/>
        <v>3.28986021505376</v>
      </c>
      <c r="AF93" s="340">
        <f t="shared" si="22"/>
        <v>0.0556517639547035</v>
      </c>
      <c r="AG93" s="275">
        <f t="shared" si="23"/>
        <v>0.000666488840380378</v>
      </c>
      <c r="AH93" s="157"/>
      <c r="AI93" s="157"/>
      <c r="AJ93" s="157"/>
      <c r="AK93" s="157"/>
    </row>
    <row r="94" s="28" customFormat="1" customHeight="1" spans="1:37">
      <c r="A94" s="182"/>
      <c r="B94" s="208"/>
      <c r="C94" s="235" t="s">
        <v>171</v>
      </c>
      <c r="D94" s="234"/>
      <c r="E94" s="234"/>
      <c r="F94" s="234"/>
      <c r="G94" s="234"/>
      <c r="H94" s="234"/>
      <c r="I94" s="234"/>
      <c r="J94" s="234">
        <v>502</v>
      </c>
      <c r="K94" s="234">
        <v>72.13</v>
      </c>
      <c r="L94" s="234">
        <v>784</v>
      </c>
      <c r="M94" s="372">
        <v>284.47</v>
      </c>
      <c r="N94" s="234">
        <v>1160</v>
      </c>
      <c r="O94" s="372">
        <v>227.95</v>
      </c>
      <c r="P94" s="234">
        <f>1645+564+60</f>
        <v>2269</v>
      </c>
      <c r="Q94" s="234">
        <f>27.88+346.39+8.56</f>
        <v>382.83</v>
      </c>
      <c r="R94" s="171">
        <f>454+3422</f>
        <v>3876</v>
      </c>
      <c r="S94" s="171">
        <f>49.27+344.31</f>
        <v>393.58</v>
      </c>
      <c r="T94" s="171"/>
      <c r="U94" s="191"/>
      <c r="V94" s="171"/>
      <c r="W94" s="171"/>
      <c r="X94" s="171"/>
      <c r="Y94" s="171"/>
      <c r="Z94" s="171"/>
      <c r="AA94" s="191"/>
      <c r="AB94" s="172">
        <f t="shared" si="18"/>
        <v>8591</v>
      </c>
      <c r="AC94" s="303">
        <f t="shared" si="19"/>
        <v>1360.96</v>
      </c>
      <c r="AD94" s="304">
        <f t="shared" si="20"/>
        <v>0</v>
      </c>
      <c r="AE94" s="305">
        <f t="shared" si="21"/>
        <v>0</v>
      </c>
      <c r="AF94" s="340">
        <f t="shared" si="22"/>
        <v>0.0159458461172951</v>
      </c>
      <c r="AG94" s="275">
        <f t="shared" si="23"/>
        <v>0.000497038068212697</v>
      </c>
      <c r="AH94" s="157"/>
      <c r="AI94" s="157"/>
      <c r="AJ94" s="157"/>
      <c r="AK94" s="157"/>
    </row>
    <row r="95" s="28" customFormat="1" customHeight="1" spans="1:37">
      <c r="A95" s="182"/>
      <c r="B95" s="345"/>
      <c r="C95" s="380" t="s">
        <v>137</v>
      </c>
      <c r="D95" s="364"/>
      <c r="E95" s="364"/>
      <c r="F95" s="364"/>
      <c r="G95" s="364"/>
      <c r="H95" s="364"/>
      <c r="I95" s="364"/>
      <c r="J95" s="364"/>
      <c r="K95" s="364"/>
      <c r="L95" s="364"/>
      <c r="M95" s="365"/>
      <c r="N95" s="364"/>
      <c r="O95" s="365"/>
      <c r="P95" s="364"/>
      <c r="Q95" s="364"/>
      <c r="R95" s="364"/>
      <c r="S95" s="364"/>
      <c r="T95" s="364"/>
      <c r="U95" s="200">
        <v>3388.52</v>
      </c>
      <c r="V95" s="364"/>
      <c r="W95" s="364">
        <f>4994.93+2.52</f>
        <v>4997.45</v>
      </c>
      <c r="X95" s="364"/>
      <c r="Y95" s="364">
        <v>5082.61</v>
      </c>
      <c r="Z95" s="199"/>
      <c r="AA95" s="200">
        <v>6878.06</v>
      </c>
      <c r="AB95" s="201">
        <f t="shared" si="18"/>
        <v>0</v>
      </c>
      <c r="AC95" s="314">
        <f t="shared" si="19"/>
        <v>20346.64</v>
      </c>
      <c r="AD95" s="315">
        <f t="shared" si="20"/>
        <v>0</v>
      </c>
      <c r="AE95" s="333">
        <f t="shared" si="21"/>
        <v>52.4525698924731</v>
      </c>
      <c r="AF95" s="349">
        <f t="shared" si="22"/>
        <v>0</v>
      </c>
      <c r="AG95" s="350">
        <f t="shared" si="23"/>
        <v>0.00743082430065483</v>
      </c>
      <c r="AH95" s="157"/>
      <c r="AI95" s="157"/>
      <c r="AJ95" s="157"/>
      <c r="AK95" s="157"/>
    </row>
    <row r="96" s="28" customFormat="1" customHeight="1" spans="1:37">
      <c r="A96" s="182" t="s">
        <v>172</v>
      </c>
      <c r="B96" s="183" t="s">
        <v>173</v>
      </c>
      <c r="C96" s="381" t="s">
        <v>121</v>
      </c>
      <c r="D96" s="369">
        <v>27232</v>
      </c>
      <c r="E96" s="369">
        <v>182425.38</v>
      </c>
      <c r="F96" s="369">
        <v>27079</v>
      </c>
      <c r="G96" s="369">
        <v>177949.53</v>
      </c>
      <c r="H96" s="369">
        <v>27256</v>
      </c>
      <c r="I96" s="369">
        <v>179399.71</v>
      </c>
      <c r="J96" s="369">
        <v>24957</v>
      </c>
      <c r="K96" s="369">
        <v>163962.86</v>
      </c>
      <c r="L96" s="369">
        <v>25554</v>
      </c>
      <c r="M96" s="370">
        <v>167792.89</v>
      </c>
      <c r="N96" s="369">
        <v>23194</v>
      </c>
      <c r="O96" s="370">
        <v>152379.96</v>
      </c>
      <c r="P96" s="369">
        <v>28443</v>
      </c>
      <c r="Q96" s="369">
        <v>184329.4</v>
      </c>
      <c r="R96" s="369">
        <v>30413</v>
      </c>
      <c r="S96" s="369">
        <v>196471.35</v>
      </c>
      <c r="T96" s="382">
        <f>24486+739+14</f>
        <v>25239</v>
      </c>
      <c r="U96" s="369">
        <f>153029.12+9549.07+79.93</f>
        <v>162658.12</v>
      </c>
      <c r="V96" s="369">
        <f>24315+195</f>
        <v>24510</v>
      </c>
      <c r="W96" s="369">
        <f>156939.84+1250.7</f>
        <v>158190.54</v>
      </c>
      <c r="X96" s="321">
        <v>14503</v>
      </c>
      <c r="Y96" s="321">
        <v>80999.4</v>
      </c>
      <c r="Z96" s="185">
        <v>14852</v>
      </c>
      <c r="AA96" s="186">
        <v>82526.03</v>
      </c>
      <c r="AB96" s="187">
        <f t="shared" si="18"/>
        <v>293232</v>
      </c>
      <c r="AC96" s="322">
        <f t="shared" si="19"/>
        <v>1889085.17</v>
      </c>
      <c r="AD96" s="323">
        <f t="shared" si="20"/>
        <v>-4.33655913978492</v>
      </c>
      <c r="AE96" s="324">
        <f t="shared" si="21"/>
        <v>-37.8499999999999</v>
      </c>
      <c r="AF96" s="383">
        <f>AB96/SUM($AB$96:$AB$114)</f>
        <v>0.333508948563087</v>
      </c>
      <c r="AG96" s="189">
        <f>AC96/SUM($AC$96:$AC$114)</f>
        <v>0.338646219318353</v>
      </c>
      <c r="AH96" s="157">
        <f>AG96+AG97+AG99</f>
        <v>0.365937760466516</v>
      </c>
      <c r="AI96" s="157">
        <f>AG102</f>
        <v>0.087693834108863</v>
      </c>
      <c r="AJ96" s="157">
        <f>AG107</f>
        <v>0.0716116210104275</v>
      </c>
      <c r="AK96" s="157">
        <f>AG108+AG109+AG106</f>
        <v>0.41310125756152</v>
      </c>
    </row>
    <row r="97" s="28" customFormat="1" customHeight="1" spans="1:37">
      <c r="A97" s="182"/>
      <c r="B97" s="190"/>
      <c r="C97" s="235" t="s">
        <v>122</v>
      </c>
      <c r="D97" s="234"/>
      <c r="E97" s="234"/>
      <c r="F97" s="234"/>
      <c r="G97" s="234"/>
      <c r="H97" s="234"/>
      <c r="I97" s="234"/>
      <c r="J97" s="234"/>
      <c r="K97" s="234"/>
      <c r="L97" s="234"/>
      <c r="M97" s="372"/>
      <c r="N97" s="234"/>
      <c r="O97" s="372"/>
      <c r="P97" s="234"/>
      <c r="Q97" s="234"/>
      <c r="R97" s="234"/>
      <c r="S97" s="234"/>
      <c r="T97" s="284"/>
      <c r="U97" s="234"/>
      <c r="V97" s="234"/>
      <c r="W97" s="234"/>
      <c r="X97" s="326">
        <v>8535</v>
      </c>
      <c r="Y97" s="326">
        <v>63834.96</v>
      </c>
      <c r="Z97" s="171">
        <v>8996</v>
      </c>
      <c r="AA97" s="191">
        <v>67815.89</v>
      </c>
      <c r="AB97" s="172">
        <f t="shared" si="18"/>
        <v>17531</v>
      </c>
      <c r="AC97" s="303">
        <f t="shared" si="19"/>
        <v>131650.85</v>
      </c>
      <c r="AD97" s="304">
        <f t="shared" si="20"/>
        <v>5.69354838709677</v>
      </c>
      <c r="AE97" s="305">
        <f t="shared" si="21"/>
        <v>59.7773548387099</v>
      </c>
      <c r="AF97" s="384">
        <f t="shared" ref="AF97:AF114" si="24">AB97/SUM($AB$96:$AB$114)</f>
        <v>0.0199389745227652</v>
      </c>
      <c r="AG97" s="269">
        <f t="shared" ref="AG97:AG114" si="25">AC97/SUM($AC$96:$AC$114)</f>
        <v>0.0236003454638033</v>
      </c>
      <c r="AH97" s="157"/>
      <c r="AI97" s="157"/>
      <c r="AJ97" s="157"/>
      <c r="AK97" s="157"/>
    </row>
    <row r="98" s="28" customFormat="1" customHeight="1" spans="1:37">
      <c r="A98" s="182"/>
      <c r="B98" s="190"/>
      <c r="C98" s="235" t="s">
        <v>174</v>
      </c>
      <c r="D98" s="234">
        <v>307</v>
      </c>
      <c r="E98" s="234">
        <v>2659.24</v>
      </c>
      <c r="F98" s="234">
        <v>226</v>
      </c>
      <c r="G98" s="234">
        <v>1983.45</v>
      </c>
      <c r="H98" s="234">
        <v>341</v>
      </c>
      <c r="I98" s="234">
        <v>2898.07</v>
      </c>
      <c r="J98" s="234">
        <v>281</v>
      </c>
      <c r="K98" s="234">
        <v>2503.15</v>
      </c>
      <c r="L98" s="234">
        <v>158</v>
      </c>
      <c r="M98" s="372">
        <v>1409.07</v>
      </c>
      <c r="N98" s="234"/>
      <c r="O98" s="372"/>
      <c r="P98" s="234"/>
      <c r="Q98" s="234"/>
      <c r="R98" s="234"/>
      <c r="S98" s="234"/>
      <c r="T98" s="284"/>
      <c r="U98" s="234"/>
      <c r="V98" s="234">
        <f>132</f>
        <v>132</v>
      </c>
      <c r="W98" s="234">
        <f>1175.75</f>
        <v>1175.75</v>
      </c>
      <c r="X98" s="326">
        <v>344</v>
      </c>
      <c r="Y98" s="326">
        <v>2918.08</v>
      </c>
      <c r="Z98" s="171">
        <v>419</v>
      </c>
      <c r="AA98" s="191">
        <v>3251.35</v>
      </c>
      <c r="AB98" s="172">
        <f t="shared" si="18"/>
        <v>2208</v>
      </c>
      <c r="AC98" s="303">
        <f t="shared" si="19"/>
        <v>18798.16</v>
      </c>
      <c r="AD98" s="304">
        <f t="shared" si="20"/>
        <v>2.0494623655914</v>
      </c>
      <c r="AE98" s="305">
        <f t="shared" si="21"/>
        <v>7.61292473118279</v>
      </c>
      <c r="AF98" s="384">
        <f t="shared" si="24"/>
        <v>0.00251128034603077</v>
      </c>
      <c r="AG98" s="269">
        <f t="shared" si="25"/>
        <v>0.00336984584667588</v>
      </c>
      <c r="AH98" s="157"/>
      <c r="AI98" s="157"/>
      <c r="AJ98" s="157"/>
      <c r="AK98" s="157"/>
    </row>
    <row r="99" s="28" customFormat="1" customHeight="1" spans="1:37">
      <c r="A99" s="182"/>
      <c r="B99" s="190"/>
      <c r="C99" s="235" t="s">
        <v>133</v>
      </c>
      <c r="D99" s="234"/>
      <c r="E99" s="234"/>
      <c r="F99" s="234"/>
      <c r="G99" s="234"/>
      <c r="H99" s="234"/>
      <c r="I99" s="234"/>
      <c r="J99" s="234"/>
      <c r="K99" s="234"/>
      <c r="L99" s="234"/>
      <c r="M99" s="372"/>
      <c r="N99" s="234"/>
      <c r="O99" s="372"/>
      <c r="P99" s="234"/>
      <c r="Q99" s="234"/>
      <c r="R99" s="234"/>
      <c r="S99" s="234"/>
      <c r="T99" s="284"/>
      <c r="U99" s="234"/>
      <c r="V99" s="234"/>
      <c r="W99" s="234"/>
      <c r="X99" s="326">
        <v>749</v>
      </c>
      <c r="Y99" s="326">
        <v>9450.72</v>
      </c>
      <c r="Z99" s="171">
        <v>852</v>
      </c>
      <c r="AA99" s="191">
        <v>11140.04</v>
      </c>
      <c r="AB99" s="172">
        <f t="shared" si="18"/>
        <v>1601</v>
      </c>
      <c r="AC99" s="303">
        <f t="shared" si="19"/>
        <v>20590.76</v>
      </c>
      <c r="AD99" s="304">
        <f t="shared" si="20"/>
        <v>2.51720430107527</v>
      </c>
      <c r="AE99" s="305">
        <f t="shared" si="21"/>
        <v>44.3321290322581</v>
      </c>
      <c r="AF99" s="384">
        <f t="shared" si="24"/>
        <v>0.00182090572191815</v>
      </c>
      <c r="AG99" s="269">
        <f t="shared" si="25"/>
        <v>0.00369119568435952</v>
      </c>
      <c r="AH99" s="157"/>
      <c r="AI99" s="157"/>
      <c r="AJ99" s="157"/>
      <c r="AK99" s="157"/>
    </row>
    <row r="100" s="28" customFormat="1" customHeight="1" spans="1:37">
      <c r="A100" s="182"/>
      <c r="B100" s="190"/>
      <c r="C100" s="235" t="s">
        <v>125</v>
      </c>
      <c r="D100" s="234">
        <v>1053</v>
      </c>
      <c r="E100" s="234">
        <v>2988.08</v>
      </c>
      <c r="F100" s="234">
        <v>942</v>
      </c>
      <c r="G100" s="234">
        <v>2752.51</v>
      </c>
      <c r="H100" s="234">
        <v>1094</v>
      </c>
      <c r="I100" s="234">
        <v>3248.21</v>
      </c>
      <c r="J100" s="234">
        <v>1050</v>
      </c>
      <c r="K100" s="234">
        <v>3063.05</v>
      </c>
      <c r="L100" s="234">
        <v>989</v>
      </c>
      <c r="M100" s="372">
        <v>2870.57</v>
      </c>
      <c r="N100" s="234">
        <v>896</v>
      </c>
      <c r="O100" s="372">
        <v>2624.16</v>
      </c>
      <c r="P100" s="234">
        <v>973</v>
      </c>
      <c r="Q100" s="234">
        <v>2842.04</v>
      </c>
      <c r="R100" s="234">
        <v>1017</v>
      </c>
      <c r="S100" s="234">
        <v>2934.48</v>
      </c>
      <c r="T100" s="284">
        <f>492</f>
        <v>492</v>
      </c>
      <c r="U100" s="234">
        <f>1416.22</f>
        <v>1416.22</v>
      </c>
      <c r="V100" s="234">
        <f>1</f>
        <v>1</v>
      </c>
      <c r="W100" s="234">
        <f>3</f>
        <v>3</v>
      </c>
      <c r="X100" s="326">
        <v>709</v>
      </c>
      <c r="Y100" s="326">
        <v>2072.34</v>
      </c>
      <c r="Z100" s="171">
        <v>906</v>
      </c>
      <c r="AA100" s="191">
        <v>2615.38</v>
      </c>
      <c r="AB100" s="172">
        <f t="shared" si="18"/>
        <v>10122</v>
      </c>
      <c r="AC100" s="303">
        <f t="shared" si="19"/>
        <v>29430.04</v>
      </c>
      <c r="AD100" s="304">
        <f t="shared" si="20"/>
        <v>5.59247311827957</v>
      </c>
      <c r="AE100" s="305">
        <f t="shared" si="21"/>
        <v>15.2890967741936</v>
      </c>
      <c r="AF100" s="384">
        <f t="shared" si="24"/>
        <v>0.0115123096297661</v>
      </c>
      <c r="AG100" s="269">
        <f t="shared" si="25"/>
        <v>0.00527576624847883</v>
      </c>
      <c r="AH100" s="157"/>
      <c r="AI100" s="157"/>
      <c r="AJ100" s="157"/>
      <c r="AK100" s="157"/>
    </row>
    <row r="101" s="28" customFormat="1" customHeight="1" spans="1:37">
      <c r="A101" s="182"/>
      <c r="B101" s="190"/>
      <c r="C101" s="235" t="s">
        <v>175</v>
      </c>
      <c r="D101" s="234">
        <v>148</v>
      </c>
      <c r="E101" s="234">
        <v>4211.43</v>
      </c>
      <c r="F101" s="234"/>
      <c r="G101" s="234"/>
      <c r="H101" s="234"/>
      <c r="I101" s="234"/>
      <c r="J101" s="234"/>
      <c r="K101" s="234"/>
      <c r="L101" s="234"/>
      <c r="M101" s="372"/>
      <c r="N101" s="234"/>
      <c r="O101" s="372"/>
      <c r="P101" s="234"/>
      <c r="Q101" s="234"/>
      <c r="R101" s="234"/>
      <c r="S101" s="234"/>
      <c r="T101" s="284"/>
      <c r="U101" s="234"/>
      <c r="V101" s="234"/>
      <c r="W101" s="234"/>
      <c r="X101" s="326">
        <v>220</v>
      </c>
      <c r="Y101" s="326">
        <v>3899.32</v>
      </c>
      <c r="Z101" s="171">
        <v>146</v>
      </c>
      <c r="AA101" s="191">
        <v>2333.87</v>
      </c>
      <c r="AB101" s="172">
        <f t="shared" si="18"/>
        <v>514</v>
      </c>
      <c r="AC101" s="303">
        <f t="shared" si="19"/>
        <v>10444.62</v>
      </c>
      <c r="AD101" s="304">
        <f>Z101/31-X101/30</f>
        <v>-2.62365591397849</v>
      </c>
      <c r="AE101" s="305">
        <f>AA101/31-Y101/30</f>
        <v>-54.6912043010753</v>
      </c>
      <c r="AF101" s="384">
        <f t="shared" si="24"/>
        <v>0.000584600587798831</v>
      </c>
      <c r="AG101" s="269">
        <f t="shared" si="25"/>
        <v>0.00187235130071814</v>
      </c>
      <c r="AH101" s="157"/>
      <c r="AI101" s="157"/>
      <c r="AJ101" s="157"/>
      <c r="AK101" s="157"/>
    </row>
    <row r="102" s="28" customFormat="1" customHeight="1" spans="1:37">
      <c r="A102" s="182"/>
      <c r="B102" s="190"/>
      <c r="C102" s="385" t="s">
        <v>116</v>
      </c>
      <c r="D102" s="234">
        <v>13290</v>
      </c>
      <c r="E102" s="234">
        <v>40377.35</v>
      </c>
      <c r="F102" s="234">
        <v>14281</v>
      </c>
      <c r="G102" s="234">
        <v>42685.24</v>
      </c>
      <c r="H102" s="234">
        <v>13507</v>
      </c>
      <c r="I102" s="234">
        <v>40599.08</v>
      </c>
      <c r="J102" s="234">
        <v>12528</v>
      </c>
      <c r="K102" s="234">
        <v>37571.04</v>
      </c>
      <c r="L102" s="234">
        <v>12706</v>
      </c>
      <c r="M102" s="372">
        <v>38218.41</v>
      </c>
      <c r="N102" s="234">
        <v>11965</v>
      </c>
      <c r="O102" s="372">
        <v>35382.2</v>
      </c>
      <c r="P102" s="234">
        <v>15227</v>
      </c>
      <c r="Q102" s="234">
        <v>43727.67</v>
      </c>
      <c r="R102" s="234">
        <v>16532</v>
      </c>
      <c r="S102" s="234">
        <v>46320.63</v>
      </c>
      <c r="T102" s="284">
        <f>4+47+14639+19</f>
        <v>14709</v>
      </c>
      <c r="U102" s="234">
        <f>48+236.07+38186.64+32.52</f>
        <v>38503.23</v>
      </c>
      <c r="V102" s="234">
        <f>886+14735+22+334</f>
        <v>15977</v>
      </c>
      <c r="W102" s="234">
        <f>6161.24+40813.22+135.39+520.83</f>
        <v>47630.68</v>
      </c>
      <c r="X102" s="326">
        <v>15917</v>
      </c>
      <c r="Y102" s="326">
        <v>39175.49</v>
      </c>
      <c r="Z102" s="171">
        <v>17489</v>
      </c>
      <c r="AA102" s="191">
        <v>38995.37</v>
      </c>
      <c r="AB102" s="172">
        <f t="shared" si="18"/>
        <v>174128</v>
      </c>
      <c r="AC102" s="303">
        <f t="shared" si="19"/>
        <v>489186.39</v>
      </c>
      <c r="AD102" s="304">
        <f>Z102/31-X102/30</f>
        <v>33.5946236559139</v>
      </c>
      <c r="AE102" s="305">
        <f>AA102/31-Y102/30</f>
        <v>-47.9345053763439</v>
      </c>
      <c r="AF102" s="308">
        <f t="shared" si="24"/>
        <v>0.19804539134676</v>
      </c>
      <c r="AG102" s="211">
        <f t="shared" si="25"/>
        <v>0.087693834108863</v>
      </c>
      <c r="AH102" s="157"/>
      <c r="AI102" s="157"/>
      <c r="AJ102" s="157"/>
      <c r="AK102" s="157"/>
    </row>
    <row r="103" s="28" customFormat="1" customHeight="1" spans="1:37">
      <c r="A103" s="182"/>
      <c r="B103" s="190"/>
      <c r="C103" s="235" t="s">
        <v>161</v>
      </c>
      <c r="D103" s="234"/>
      <c r="E103" s="234"/>
      <c r="F103" s="234"/>
      <c r="G103" s="234"/>
      <c r="H103" s="234"/>
      <c r="I103" s="234"/>
      <c r="J103" s="234"/>
      <c r="K103" s="234"/>
      <c r="L103" s="234"/>
      <c r="M103" s="372"/>
      <c r="N103" s="234"/>
      <c r="O103" s="372"/>
      <c r="P103" s="234"/>
      <c r="Q103" s="234"/>
      <c r="R103" s="234"/>
      <c r="S103" s="234"/>
      <c r="T103" s="284"/>
      <c r="U103" s="234"/>
      <c r="V103" s="234"/>
      <c r="W103" s="234"/>
      <c r="X103" s="326">
        <v>769</v>
      </c>
      <c r="Y103" s="326">
        <v>1497.9</v>
      </c>
      <c r="Z103" s="171">
        <v>692</v>
      </c>
      <c r="AA103" s="171">
        <v>1191.22</v>
      </c>
      <c r="AB103" s="172">
        <f t="shared" si="18"/>
        <v>1461</v>
      </c>
      <c r="AC103" s="303">
        <f t="shared" si="19"/>
        <v>2689.12</v>
      </c>
      <c r="AD103" s="304">
        <f>Z103/31-X103/30</f>
        <v>-3.31075268817204</v>
      </c>
      <c r="AE103" s="305">
        <f>AA103/31-Y103/30</f>
        <v>-11.5035483870968</v>
      </c>
      <c r="AF103" s="384">
        <f t="shared" si="24"/>
        <v>0.00166167598983286</v>
      </c>
      <c r="AG103" s="269">
        <f t="shared" si="25"/>
        <v>0.000482064194751669</v>
      </c>
      <c r="AH103" s="157"/>
      <c r="AI103" s="157"/>
      <c r="AJ103" s="157"/>
      <c r="AK103" s="157"/>
    </row>
    <row r="104" s="28" customFormat="1" customHeight="1" spans="1:37">
      <c r="A104" s="182"/>
      <c r="B104" s="190"/>
      <c r="C104" s="235" t="s">
        <v>128</v>
      </c>
      <c r="D104" s="234">
        <v>158</v>
      </c>
      <c r="E104" s="234">
        <v>1764.8</v>
      </c>
      <c r="F104" s="234">
        <v>106</v>
      </c>
      <c r="G104" s="234">
        <v>905</v>
      </c>
      <c r="H104" s="234">
        <v>78</v>
      </c>
      <c r="I104" s="234">
        <v>675</v>
      </c>
      <c r="J104" s="234">
        <v>74</v>
      </c>
      <c r="K104" s="234">
        <v>445</v>
      </c>
      <c r="L104" s="234">
        <v>109</v>
      </c>
      <c r="M104" s="372">
        <v>935</v>
      </c>
      <c r="N104" s="234">
        <v>30</v>
      </c>
      <c r="O104" s="372">
        <v>150</v>
      </c>
      <c r="P104" s="234">
        <v>20</v>
      </c>
      <c r="Q104" s="234">
        <v>310</v>
      </c>
      <c r="R104" s="234">
        <v>104</v>
      </c>
      <c r="S104" s="234">
        <v>640</v>
      </c>
      <c r="T104" s="284">
        <v>65</v>
      </c>
      <c r="U104" s="234">
        <v>502.14</v>
      </c>
      <c r="V104" s="234">
        <f>57</f>
        <v>57</v>
      </c>
      <c r="W104" s="234">
        <f>495</f>
        <v>495</v>
      </c>
      <c r="X104" s="326">
        <v>62</v>
      </c>
      <c r="Y104" s="326">
        <v>355</v>
      </c>
      <c r="Z104" s="171">
        <v>101</v>
      </c>
      <c r="AA104" s="171">
        <v>790</v>
      </c>
      <c r="AB104" s="172">
        <f t="shared" si="18"/>
        <v>964</v>
      </c>
      <c r="AC104" s="303">
        <f t="shared" si="19"/>
        <v>7966.94</v>
      </c>
      <c r="AD104" s="304">
        <f>Z104/31-X104/30</f>
        <v>1.19139784946237</v>
      </c>
      <c r="AE104" s="305">
        <f>AA104/31-Y104/30</f>
        <v>13.6505376344086</v>
      </c>
      <c r="AF104" s="384">
        <f t="shared" si="24"/>
        <v>0.0010964104409301</v>
      </c>
      <c r="AG104" s="269">
        <f t="shared" si="25"/>
        <v>0.00142819082664026</v>
      </c>
      <c r="AH104" s="157"/>
      <c r="AI104" s="157"/>
      <c r="AJ104" s="157"/>
      <c r="AK104" s="157"/>
    </row>
    <row r="105" s="28" customFormat="1" customHeight="1" spans="1:37">
      <c r="A105" s="182"/>
      <c r="B105" s="190"/>
      <c r="C105" s="386" t="s">
        <v>141</v>
      </c>
      <c r="D105" s="234">
        <v>907</v>
      </c>
      <c r="E105" s="234">
        <v>8135.91</v>
      </c>
      <c r="F105" s="234">
        <v>891</v>
      </c>
      <c r="G105" s="234">
        <v>8004.07</v>
      </c>
      <c r="H105" s="234">
        <v>1245</v>
      </c>
      <c r="I105" s="234">
        <v>10615.79</v>
      </c>
      <c r="J105" s="234">
        <v>1539</v>
      </c>
      <c r="K105" s="234">
        <v>12738.89</v>
      </c>
      <c r="L105" s="234">
        <v>1736</v>
      </c>
      <c r="M105" s="372">
        <v>14602.35</v>
      </c>
      <c r="N105" s="234">
        <v>1697</v>
      </c>
      <c r="O105" s="372">
        <v>14107.06</v>
      </c>
      <c r="P105" s="234">
        <v>2602</v>
      </c>
      <c r="Q105" s="234">
        <v>22204.6</v>
      </c>
      <c r="R105" s="234">
        <v>2497</v>
      </c>
      <c r="S105" s="234">
        <v>22699.99</v>
      </c>
      <c r="T105" s="284">
        <f>108+2359+83</f>
        <v>2550</v>
      </c>
      <c r="U105" s="234">
        <f>1258.32+21130.94+849.43</f>
        <v>23238.69</v>
      </c>
      <c r="V105" s="234">
        <f>2350+197</f>
        <v>2547</v>
      </c>
      <c r="W105" s="234">
        <f>20837.62+2115.53</f>
        <v>22953.15</v>
      </c>
      <c r="X105" s="326">
        <v>3055</v>
      </c>
      <c r="Y105" s="326">
        <v>28850.49</v>
      </c>
      <c r="Z105" s="171">
        <v>4034</v>
      </c>
      <c r="AA105" s="171">
        <v>35883.57</v>
      </c>
      <c r="AB105" s="172">
        <f t="shared" si="18"/>
        <v>25300</v>
      </c>
      <c r="AC105" s="303">
        <f t="shared" si="19"/>
        <v>224034.56</v>
      </c>
      <c r="AD105" s="304">
        <f>Z105/31-X105/30</f>
        <v>28.2956989247312</v>
      </c>
      <c r="AE105" s="307">
        <f>AA105/31-Y105/30</f>
        <v>195.851516129032</v>
      </c>
      <c r="AF105" s="384">
        <f t="shared" si="24"/>
        <v>0.0287750872982693</v>
      </c>
      <c r="AG105" s="269">
        <f t="shared" si="25"/>
        <v>0.0401614802474209</v>
      </c>
      <c r="AH105" s="157"/>
      <c r="AI105" s="157"/>
      <c r="AJ105" s="157"/>
      <c r="AK105" s="157"/>
    </row>
    <row r="106" s="28" customFormat="1" customHeight="1" spans="1:37">
      <c r="A106" s="182"/>
      <c r="B106" s="190"/>
      <c r="C106" s="386" t="s">
        <v>130</v>
      </c>
      <c r="D106" s="234">
        <v>3517</v>
      </c>
      <c r="E106" s="234">
        <v>53966.49</v>
      </c>
      <c r="F106" s="234">
        <v>3434</v>
      </c>
      <c r="G106" s="234">
        <v>52538.44</v>
      </c>
      <c r="H106" s="234">
        <v>3784</v>
      </c>
      <c r="I106" s="234">
        <v>58238.8</v>
      </c>
      <c r="J106" s="234">
        <v>3220</v>
      </c>
      <c r="K106" s="234">
        <v>49373.43</v>
      </c>
      <c r="L106" s="234">
        <v>3014</v>
      </c>
      <c r="M106" s="372">
        <v>46026.43</v>
      </c>
      <c r="N106" s="234">
        <v>2805</v>
      </c>
      <c r="O106" s="372">
        <v>43335.6</v>
      </c>
      <c r="P106" s="234">
        <v>2958</v>
      </c>
      <c r="Q106" s="234">
        <v>44607.63</v>
      </c>
      <c r="R106" s="234">
        <v>3288</v>
      </c>
      <c r="S106" s="234">
        <v>48012.42</v>
      </c>
      <c r="T106" s="284">
        <f>3151+31</f>
        <v>3182</v>
      </c>
      <c r="U106" s="234">
        <f>45748.17+401.38</f>
        <v>46149.55</v>
      </c>
      <c r="V106" s="234">
        <f>3102+137+232</f>
        <v>3471</v>
      </c>
      <c r="W106" s="234">
        <f>44887.18+2278.33+2821.5</f>
        <v>49987.01</v>
      </c>
      <c r="X106" s="326">
        <v>3599</v>
      </c>
      <c r="Y106" s="326">
        <v>51050.43</v>
      </c>
      <c r="Z106" s="171">
        <v>4332</v>
      </c>
      <c r="AA106" s="171">
        <v>58527.65</v>
      </c>
      <c r="AB106" s="172">
        <f t="shared" si="18"/>
        <v>40604</v>
      </c>
      <c r="AC106" s="303">
        <f t="shared" si="19"/>
        <v>601813.88</v>
      </c>
      <c r="AD106" s="304">
        <f>Z106/31-X106/30</f>
        <v>19.7752688172043</v>
      </c>
      <c r="AE106" s="307">
        <f>AA106/31-Y106/30</f>
        <v>186.307709677419</v>
      </c>
      <c r="AF106" s="384">
        <f t="shared" si="24"/>
        <v>0.0461811717256493</v>
      </c>
      <c r="AG106" s="193">
        <f t="shared" si="25"/>
        <v>0.107883963323532</v>
      </c>
      <c r="AH106" s="157"/>
      <c r="AI106" s="157"/>
      <c r="AJ106" s="157"/>
      <c r="AK106" s="157"/>
    </row>
    <row r="107" s="28" customFormat="1" customHeight="1" spans="1:37">
      <c r="A107" s="182"/>
      <c r="B107" s="190"/>
      <c r="C107" s="235" t="s">
        <v>146</v>
      </c>
      <c r="D107" s="234">
        <v>11230</v>
      </c>
      <c r="E107" s="234">
        <v>32651.27</v>
      </c>
      <c r="F107" s="234">
        <v>11191</v>
      </c>
      <c r="G107" s="234">
        <v>32478.67</v>
      </c>
      <c r="H107" s="234">
        <v>10956</v>
      </c>
      <c r="I107" s="234">
        <v>31367.08</v>
      </c>
      <c r="J107" s="234">
        <v>10969</v>
      </c>
      <c r="K107" s="234">
        <v>31627.88</v>
      </c>
      <c r="L107" s="234">
        <v>12092</v>
      </c>
      <c r="M107" s="372">
        <v>34982.48</v>
      </c>
      <c r="N107" s="234">
        <v>10836</v>
      </c>
      <c r="O107" s="372">
        <v>31346.36</v>
      </c>
      <c r="P107" s="234">
        <v>14683</v>
      </c>
      <c r="Q107" s="234">
        <v>42352.15</v>
      </c>
      <c r="R107" s="234">
        <v>14766</v>
      </c>
      <c r="S107" s="234">
        <v>42159.74</v>
      </c>
      <c r="T107" s="284">
        <f>11602+9</f>
        <v>11611</v>
      </c>
      <c r="U107" s="234">
        <f>32608.07+15.75</f>
        <v>32623.82</v>
      </c>
      <c r="V107" s="234">
        <f>10808+115</f>
        <v>10923</v>
      </c>
      <c r="W107" s="234">
        <f>30777.98+218.46</f>
        <v>30996.44</v>
      </c>
      <c r="X107" s="326">
        <v>10005</v>
      </c>
      <c r="Y107" s="326">
        <v>27932.04</v>
      </c>
      <c r="Z107" s="171">
        <v>10495</v>
      </c>
      <c r="AA107" s="171">
        <v>28956.34</v>
      </c>
      <c r="AB107" s="172">
        <f t="shared" si="18"/>
        <v>139757</v>
      </c>
      <c r="AC107" s="303">
        <f t="shared" si="19"/>
        <v>399474.27</v>
      </c>
      <c r="AD107" s="304">
        <f>Z107/31-X107/30</f>
        <v>5.04838709677421</v>
      </c>
      <c r="AE107" s="305">
        <f>AA107/31-Y107/30</f>
        <v>3.0074838709678</v>
      </c>
      <c r="AF107" s="384">
        <f t="shared" si="24"/>
        <v>0.158953354764594</v>
      </c>
      <c r="AG107" s="269">
        <f t="shared" si="25"/>
        <v>0.0716116210104275</v>
      </c>
      <c r="AH107" s="157"/>
      <c r="AI107" s="157"/>
      <c r="AJ107" s="157"/>
      <c r="AK107" s="157"/>
    </row>
    <row r="108" s="28" customFormat="1" customHeight="1" spans="1:37">
      <c r="A108" s="182"/>
      <c r="B108" s="190"/>
      <c r="C108" s="386" t="s">
        <v>176</v>
      </c>
      <c r="D108" s="234">
        <v>7635.05</v>
      </c>
      <c r="E108" s="234">
        <v>91213.45</v>
      </c>
      <c r="F108" s="234">
        <v>6750.28</v>
      </c>
      <c r="G108" s="234">
        <v>82326.43</v>
      </c>
      <c r="H108" s="234">
        <v>10176.22</v>
      </c>
      <c r="I108" s="234">
        <v>126137.59</v>
      </c>
      <c r="J108" s="234">
        <v>9430.66</v>
      </c>
      <c r="K108" s="234">
        <v>122095.65</v>
      </c>
      <c r="L108" s="234">
        <v>9404.715</v>
      </c>
      <c r="M108" s="372">
        <v>118793.87</v>
      </c>
      <c r="N108" s="373">
        <v>10193.658</v>
      </c>
      <c r="O108" s="374">
        <v>134500.14</v>
      </c>
      <c r="P108" s="234">
        <v>11184.075</v>
      </c>
      <c r="Q108" s="234">
        <v>146716.86</v>
      </c>
      <c r="R108" s="234">
        <v>10241.443</v>
      </c>
      <c r="S108" s="234">
        <v>140015.42</v>
      </c>
      <c r="T108" s="234">
        <v>11233.33</v>
      </c>
      <c r="U108" s="234">
        <v>143936.56</v>
      </c>
      <c r="V108" s="234">
        <f>10136.826</f>
        <v>10136.826</v>
      </c>
      <c r="W108" s="234">
        <f>137249.64</f>
        <v>137249.64</v>
      </c>
      <c r="X108" s="326">
        <v>10268.263</v>
      </c>
      <c r="Y108" s="326">
        <v>130531.83</v>
      </c>
      <c r="Z108" s="171">
        <v>10107.26</v>
      </c>
      <c r="AA108" s="171">
        <v>132589.59</v>
      </c>
      <c r="AB108" s="172">
        <f t="shared" si="18"/>
        <v>116761.78</v>
      </c>
      <c r="AC108" s="303">
        <f t="shared" si="19"/>
        <v>1506107.03</v>
      </c>
      <c r="AD108" s="304">
        <f>Z108/31-X108/30</f>
        <v>-16.234788172043</v>
      </c>
      <c r="AE108" s="305">
        <f>AA108/31-Y108/30</f>
        <v>-73.9774516129028</v>
      </c>
      <c r="AF108" s="384">
        <f t="shared" si="24"/>
        <v>0.132799621051435</v>
      </c>
      <c r="AG108" s="193">
        <f t="shared" si="25"/>
        <v>0.269991771518853</v>
      </c>
      <c r="AH108" s="157"/>
      <c r="AI108" s="157"/>
      <c r="AJ108" s="157"/>
      <c r="AK108" s="157"/>
    </row>
    <row r="109" s="28" customFormat="1" customHeight="1" spans="1:37">
      <c r="A109" s="182"/>
      <c r="B109" s="190"/>
      <c r="C109" s="386" t="s">
        <v>126</v>
      </c>
      <c r="D109" s="234">
        <v>1662</v>
      </c>
      <c r="E109" s="234">
        <v>15849.01</v>
      </c>
      <c r="F109" s="234">
        <v>1656</v>
      </c>
      <c r="G109" s="234">
        <v>15969.87</v>
      </c>
      <c r="H109" s="234">
        <v>1976</v>
      </c>
      <c r="I109" s="234">
        <v>19687.15</v>
      </c>
      <c r="J109" s="234">
        <v>1813</v>
      </c>
      <c r="K109" s="234">
        <v>17670.52</v>
      </c>
      <c r="L109" s="234">
        <v>1573</v>
      </c>
      <c r="M109" s="372">
        <v>15619.49</v>
      </c>
      <c r="N109" s="234">
        <v>1558</v>
      </c>
      <c r="O109" s="372">
        <v>15860.77</v>
      </c>
      <c r="P109" s="234">
        <v>1683</v>
      </c>
      <c r="Q109" s="234">
        <v>17127.39</v>
      </c>
      <c r="R109" s="234">
        <v>1526</v>
      </c>
      <c r="S109" s="234">
        <v>14928.94</v>
      </c>
      <c r="T109" s="284">
        <f>1427</f>
        <v>1427</v>
      </c>
      <c r="U109" s="234">
        <f>13888.09</f>
        <v>13888.09</v>
      </c>
      <c r="V109" s="234">
        <f>1409</f>
        <v>1409</v>
      </c>
      <c r="W109" s="234">
        <f>13627.71</f>
        <v>13627.71</v>
      </c>
      <c r="X109" s="326">
        <v>1491</v>
      </c>
      <c r="Y109" s="326">
        <v>14425.37</v>
      </c>
      <c r="Z109" s="171">
        <v>2183</v>
      </c>
      <c r="AA109" s="171">
        <v>21845.78</v>
      </c>
      <c r="AB109" s="172">
        <f t="shared" si="18"/>
        <v>19957</v>
      </c>
      <c r="AC109" s="303">
        <f t="shared" si="19"/>
        <v>196500.09</v>
      </c>
      <c r="AD109" s="304">
        <f>Z109/31-X109/30</f>
        <v>20.7193548387097</v>
      </c>
      <c r="AE109" s="307">
        <f>AA109/31-Y109/30</f>
        <v>223.856913978495</v>
      </c>
      <c r="AF109" s="384">
        <f t="shared" si="24"/>
        <v>0.0226981983087573</v>
      </c>
      <c r="AG109" s="269">
        <f t="shared" si="25"/>
        <v>0.035225522719135</v>
      </c>
      <c r="AH109" s="157"/>
      <c r="AI109" s="157"/>
      <c r="AJ109" s="157"/>
      <c r="AK109" s="157"/>
    </row>
    <row r="110" s="28" customFormat="1" customHeight="1" spans="1:37">
      <c r="A110" s="182"/>
      <c r="B110" s="190"/>
      <c r="C110" s="235" t="s">
        <v>168</v>
      </c>
      <c r="D110" s="171"/>
      <c r="E110" s="171"/>
      <c r="F110" s="171"/>
      <c r="G110" s="171"/>
      <c r="H110" s="171"/>
      <c r="I110" s="171"/>
      <c r="J110" s="171"/>
      <c r="K110" s="171"/>
      <c r="L110" s="171"/>
      <c r="M110" s="328"/>
      <c r="N110" s="171"/>
      <c r="O110" s="328"/>
      <c r="P110" s="234">
        <v>120</v>
      </c>
      <c r="Q110" s="234">
        <v>591.8</v>
      </c>
      <c r="R110" s="234">
        <v>244</v>
      </c>
      <c r="S110" s="234">
        <v>1331.11</v>
      </c>
      <c r="T110" s="284">
        <f>275+7</f>
        <v>282</v>
      </c>
      <c r="U110" s="234">
        <f>1510.24+50.6</f>
        <v>1560.84</v>
      </c>
      <c r="V110" s="234">
        <f>161+7</f>
        <v>168</v>
      </c>
      <c r="W110" s="234">
        <f>884.07+47.67</f>
        <v>931.74</v>
      </c>
      <c r="X110" s="326">
        <v>282</v>
      </c>
      <c r="Y110" s="326">
        <v>1700.42</v>
      </c>
      <c r="Z110" s="171">
        <v>2</v>
      </c>
      <c r="AA110" s="171">
        <v>12.92</v>
      </c>
      <c r="AB110" s="172">
        <f t="shared" si="18"/>
        <v>1098</v>
      </c>
      <c r="AC110" s="303">
        <f t="shared" si="19"/>
        <v>6128.83</v>
      </c>
      <c r="AD110" s="304">
        <f>Z110/31-X110/30</f>
        <v>-9.33548387096774</v>
      </c>
      <c r="AE110" s="305">
        <f>AA110/31-Y110/30</f>
        <v>-56.2638924731183</v>
      </c>
      <c r="AF110" s="384">
        <f t="shared" si="24"/>
        <v>0.0012488160416403</v>
      </c>
      <c r="AG110" s="269">
        <f t="shared" si="25"/>
        <v>0.00109868265407266</v>
      </c>
      <c r="AH110" s="157"/>
      <c r="AI110" s="157"/>
      <c r="AJ110" s="157"/>
      <c r="AK110" s="157"/>
    </row>
    <row r="111" s="28" customFormat="1" customHeight="1" spans="1:37">
      <c r="A111" s="182"/>
      <c r="B111" s="190"/>
      <c r="C111" s="235" t="s">
        <v>177</v>
      </c>
      <c r="D111" s="171"/>
      <c r="E111" s="171"/>
      <c r="F111" s="171"/>
      <c r="G111" s="171"/>
      <c r="H111" s="171"/>
      <c r="I111" s="171"/>
      <c r="J111" s="171"/>
      <c r="K111" s="171"/>
      <c r="L111" s="171"/>
      <c r="M111" s="328"/>
      <c r="N111" s="171"/>
      <c r="O111" s="328"/>
      <c r="P111" s="234">
        <v>1465</v>
      </c>
      <c r="Q111" s="234">
        <v>2520.17</v>
      </c>
      <c r="R111" s="234">
        <v>2514</v>
      </c>
      <c r="S111" s="234">
        <v>5187.85</v>
      </c>
      <c r="T111" s="284">
        <f>3266</f>
        <v>3266</v>
      </c>
      <c r="U111" s="234">
        <f>7248.81</f>
        <v>7248.81</v>
      </c>
      <c r="V111" s="234">
        <f>2292</f>
        <v>2292</v>
      </c>
      <c r="W111" s="234">
        <f>5677.95</f>
        <v>5677.95</v>
      </c>
      <c r="X111" s="326">
        <v>0</v>
      </c>
      <c r="Y111" s="326">
        <v>0</v>
      </c>
      <c r="Z111" s="171">
        <v>0</v>
      </c>
      <c r="AA111" s="171">
        <v>0</v>
      </c>
      <c r="AB111" s="172">
        <f t="shared" si="18"/>
        <v>9537</v>
      </c>
      <c r="AC111" s="303">
        <f t="shared" si="19"/>
        <v>20634.78</v>
      </c>
      <c r="AD111" s="304">
        <f>Z111/31-X111/30</f>
        <v>0</v>
      </c>
      <c r="AE111" s="305">
        <f>AA111/31-Y111/30</f>
        <v>0</v>
      </c>
      <c r="AF111" s="384">
        <f t="shared" si="24"/>
        <v>0.0108469568206954</v>
      </c>
      <c r="AG111" s="269">
        <f t="shared" si="25"/>
        <v>0.00369908691489329</v>
      </c>
      <c r="AH111" s="157"/>
      <c r="AI111" s="157"/>
      <c r="AJ111" s="157"/>
      <c r="AK111" s="157"/>
    </row>
    <row r="112" s="28" customFormat="1" customHeight="1" spans="1:37">
      <c r="A112" s="182"/>
      <c r="B112" s="190"/>
      <c r="C112" s="235" t="s">
        <v>178</v>
      </c>
      <c r="D112" s="171"/>
      <c r="E112" s="171"/>
      <c r="F112" s="171"/>
      <c r="G112" s="171"/>
      <c r="H112" s="171"/>
      <c r="I112" s="171"/>
      <c r="J112" s="171"/>
      <c r="K112" s="171"/>
      <c r="L112" s="171"/>
      <c r="M112" s="328"/>
      <c r="N112" s="171"/>
      <c r="O112" s="328"/>
      <c r="P112" s="234">
        <v>1491</v>
      </c>
      <c r="Q112" s="234">
        <v>67.18</v>
      </c>
      <c r="R112" s="234">
        <v>3401</v>
      </c>
      <c r="S112" s="234">
        <v>207.58</v>
      </c>
      <c r="T112" s="284">
        <f>4898+18</f>
        <v>4916</v>
      </c>
      <c r="U112" s="234">
        <f>379.2+5.99</f>
        <v>385.19</v>
      </c>
      <c r="V112" s="234">
        <f>3715+202</f>
        <v>3917</v>
      </c>
      <c r="W112" s="234">
        <f>284.99+35.08</f>
        <v>320.07</v>
      </c>
      <c r="X112" s="326">
        <v>4181</v>
      </c>
      <c r="Y112" s="326">
        <v>400.34</v>
      </c>
      <c r="Z112" s="171">
        <v>4792</v>
      </c>
      <c r="AA112" s="171">
        <v>395.54</v>
      </c>
      <c r="AB112" s="172">
        <f t="shared" si="18"/>
        <v>22698</v>
      </c>
      <c r="AC112" s="303">
        <f t="shared" si="19"/>
        <v>1775.9</v>
      </c>
      <c r="AD112" s="304">
        <f>Z112/31-X112/30</f>
        <v>15.2139784946237</v>
      </c>
      <c r="AE112" s="305">
        <f>AA112/31-Y112/30</f>
        <v>-0.585311827956987</v>
      </c>
      <c r="AF112" s="384">
        <f t="shared" si="24"/>
        <v>0.0258156889919414</v>
      </c>
      <c r="AG112" s="269">
        <f t="shared" si="25"/>
        <v>0.000318356117785554</v>
      </c>
      <c r="AH112" s="157"/>
      <c r="AI112" s="157"/>
      <c r="AJ112" s="157"/>
      <c r="AK112" s="157"/>
    </row>
    <row r="113" s="28" customFormat="1" customHeight="1" spans="1:37">
      <c r="A113" s="182"/>
      <c r="B113" s="190"/>
      <c r="C113" s="235" t="s">
        <v>179</v>
      </c>
      <c r="D113" s="171"/>
      <c r="E113" s="171"/>
      <c r="F113" s="171"/>
      <c r="G113" s="171"/>
      <c r="H113" s="171"/>
      <c r="I113" s="171"/>
      <c r="J113" s="171"/>
      <c r="K113" s="171"/>
      <c r="L113" s="171"/>
      <c r="M113" s="328"/>
      <c r="N113" s="171"/>
      <c r="O113" s="328"/>
      <c r="P113" s="234">
        <v>531</v>
      </c>
      <c r="Q113" s="234">
        <v>55.61</v>
      </c>
      <c r="R113" s="234">
        <v>1228</v>
      </c>
      <c r="S113" s="234">
        <v>152.53</v>
      </c>
      <c r="T113" s="284"/>
      <c r="U113" s="234"/>
      <c r="V113" s="234"/>
      <c r="W113" s="234"/>
      <c r="X113" s="326">
        <f>T113+AJ113</f>
        <v>0</v>
      </c>
      <c r="Y113" s="326">
        <f>U113+AK113</f>
        <v>0</v>
      </c>
      <c r="Z113" s="171"/>
      <c r="AA113" s="171"/>
      <c r="AB113" s="172">
        <f t="shared" si="18"/>
        <v>1759</v>
      </c>
      <c r="AC113" s="303">
        <f t="shared" si="19"/>
        <v>208.14</v>
      </c>
      <c r="AD113" s="304">
        <f>Z113/31-X113/30</f>
        <v>0</v>
      </c>
      <c r="AE113" s="305">
        <f>AA113/31-Y113/30</f>
        <v>0</v>
      </c>
      <c r="AF113" s="384">
        <f t="shared" si="24"/>
        <v>0.00200060784812868</v>
      </c>
      <c r="AG113" s="269">
        <f t="shared" si="25"/>
        <v>3.73121472807507e-5</v>
      </c>
      <c r="AH113" s="157"/>
      <c r="AI113" s="157"/>
      <c r="AJ113" s="157"/>
      <c r="AK113" s="157"/>
    </row>
    <row r="114" s="28" customFormat="1" customHeight="1" spans="1:37">
      <c r="A114" s="387"/>
      <c r="B114" s="197"/>
      <c r="C114" s="388" t="s">
        <v>180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389"/>
      <c r="N114" s="199"/>
      <c r="O114" s="389"/>
      <c r="P114" s="199"/>
      <c r="Q114" s="199"/>
      <c r="R114" s="199"/>
      <c r="S114" s="199"/>
      <c r="T114" s="390"/>
      <c r="U114" s="364">
        <v>3451.55</v>
      </c>
      <c r="V114" s="199"/>
      <c r="W114" s="364">
        <v>3733.52</v>
      </c>
      <c r="X114" s="199"/>
      <c r="Y114" s="200">
        <v>5827.11</v>
      </c>
      <c r="Z114" s="199"/>
      <c r="AA114" s="200">
        <v>8812.48</v>
      </c>
      <c r="AB114" s="201">
        <f t="shared" si="18"/>
        <v>0</v>
      </c>
      <c r="AC114" s="314">
        <f t="shared" si="19"/>
        <v>21824.66</v>
      </c>
      <c r="AD114" s="315">
        <f>Z114/31-X114/30</f>
        <v>0</v>
      </c>
      <c r="AE114" s="348">
        <f>AA114/31-Y114/30</f>
        <v>90.0365483870968</v>
      </c>
      <c r="AF114" s="391">
        <f t="shared" si="24"/>
        <v>0</v>
      </c>
      <c r="AG114" s="273">
        <f t="shared" si="25"/>
        <v>0.00391239035395555</v>
      </c>
      <c r="AH114" s="157"/>
      <c r="AI114" s="157"/>
      <c r="AJ114" s="157"/>
      <c r="AK114" s="157"/>
    </row>
    <row r="115" s="154" customFormat="1" ht="22.5" customHeight="1" spans="1:37">
      <c r="A115" s="237" t="s">
        <v>14</v>
      </c>
      <c r="B115" s="392"/>
      <c r="C115" s="393"/>
      <c r="D115" s="394">
        <f t="shared" ref="D115:AC115" si="26">SUM(D4:D114)</f>
        <v>194797.05</v>
      </c>
      <c r="E115" s="394">
        <f t="shared" si="26"/>
        <v>1085927.66</v>
      </c>
      <c r="F115" s="394">
        <f t="shared" si="26"/>
        <v>210614.28</v>
      </c>
      <c r="G115" s="394">
        <f t="shared" si="26"/>
        <v>1164055.77</v>
      </c>
      <c r="H115" s="394">
        <f t="shared" si="26"/>
        <v>239854.22</v>
      </c>
      <c r="I115" s="394">
        <f t="shared" si="26"/>
        <v>1368149.78</v>
      </c>
      <c r="J115" s="394">
        <f t="shared" si="26"/>
        <v>247988.66</v>
      </c>
      <c r="K115" s="394">
        <f t="shared" si="26"/>
        <v>1423891.69</v>
      </c>
      <c r="L115" s="394">
        <f t="shared" si="26"/>
        <v>252603.715</v>
      </c>
      <c r="M115" s="394">
        <f t="shared" si="26"/>
        <v>1450201.13</v>
      </c>
      <c r="N115" s="394">
        <f t="shared" si="26"/>
        <v>246969.658</v>
      </c>
      <c r="O115" s="394">
        <f t="shared" si="26"/>
        <v>1382680.33</v>
      </c>
      <c r="P115" s="394">
        <f t="shared" si="26"/>
        <v>304134.075</v>
      </c>
      <c r="Q115" s="394">
        <f t="shared" si="26"/>
        <v>1617888.2</v>
      </c>
      <c r="R115" s="394">
        <f t="shared" si="26"/>
        <v>309006.443</v>
      </c>
      <c r="S115" s="394">
        <f t="shared" si="26"/>
        <v>1602336.8</v>
      </c>
      <c r="T115" s="394">
        <f t="shared" si="26"/>
        <v>282816.33</v>
      </c>
      <c r="U115" s="394">
        <f t="shared" si="26"/>
        <v>1498782.23</v>
      </c>
      <c r="V115" s="394">
        <f t="shared" si="26"/>
        <v>296162.826</v>
      </c>
      <c r="W115" s="394">
        <f t="shared" si="26"/>
        <v>1572064.82</v>
      </c>
      <c r="X115" s="394">
        <f t="shared" si="26"/>
        <v>290744.359831203</v>
      </c>
      <c r="Y115" s="394">
        <f t="shared" si="26"/>
        <v>1536970.11</v>
      </c>
      <c r="Z115" s="394">
        <f t="shared" si="26"/>
        <v>335947.26</v>
      </c>
      <c r="AA115" s="394">
        <f t="shared" si="26"/>
        <v>1757804.6</v>
      </c>
      <c r="AB115" s="394">
        <f t="shared" si="26"/>
        <v>3211638.8768312</v>
      </c>
      <c r="AC115" s="394">
        <f t="shared" si="26"/>
        <v>17460753.12</v>
      </c>
      <c r="AD115" s="355">
        <f>Z115/31-X115/30</f>
        <v>1145.52972605667</v>
      </c>
      <c r="AE115" s="355">
        <f>AA115/31-Y115/30</f>
        <v>5471.03719354838</v>
      </c>
      <c r="AF115" s="241"/>
      <c r="AG115" s="241"/>
      <c r="AH115" s="241"/>
      <c r="AI115" s="241"/>
      <c r="AJ115" s="241"/>
      <c r="AK115" s="241"/>
    </row>
  </sheetData>
  <mergeCells count="30">
    <mergeCell ref="A1:AC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2:A3"/>
    <mergeCell ref="A4:A64"/>
    <mergeCell ref="A66:A94"/>
    <mergeCell ref="A96:A113"/>
    <mergeCell ref="B2:B3"/>
    <mergeCell ref="B4:B14"/>
    <mergeCell ref="B15:B27"/>
    <mergeCell ref="B28:B40"/>
    <mergeCell ref="B41:B52"/>
    <mergeCell ref="B53:B65"/>
    <mergeCell ref="B66:B79"/>
    <mergeCell ref="B80:B95"/>
    <mergeCell ref="B96:B114"/>
    <mergeCell ref="C2:C3"/>
    <mergeCell ref="AF2:AF3"/>
    <mergeCell ref="AG2:AG3"/>
  </mergeCells>
  <conditionalFormatting sqref="P9">
    <cfRule type="cellIs" dxfId="0" priority="36" operator="lessThan">
      <formula>0</formula>
    </cfRule>
  </conditionalFormatting>
  <conditionalFormatting sqref="P31">
    <cfRule type="cellIs" dxfId="0" priority="43" operator="lessThan">
      <formula>0</formula>
    </cfRule>
  </conditionalFormatting>
  <conditionalFormatting sqref="Q31">
    <cfRule type="cellIs" dxfId="0" priority="42" operator="lessThan">
      <formula>0</formula>
    </cfRule>
  </conditionalFormatting>
  <conditionalFormatting sqref="P32">
    <cfRule type="cellIs" dxfId="0" priority="25" operator="lessThan">
      <formula>0</formula>
    </cfRule>
  </conditionalFormatting>
  <conditionalFormatting sqref="Q32">
    <cfRule type="cellIs" dxfId="0" priority="26" operator="lessThan">
      <formula>0</formula>
    </cfRule>
  </conditionalFormatting>
  <conditionalFormatting sqref="P5:P8">
    <cfRule type="cellIs" dxfId="0" priority="10" operator="lessThan">
      <formula>0</formula>
    </cfRule>
  </conditionalFormatting>
  <conditionalFormatting sqref="P10:P16">
    <cfRule type="cellIs" dxfId="0" priority="9" operator="lessThan">
      <formula>0</formula>
    </cfRule>
  </conditionalFormatting>
  <conditionalFormatting sqref="P17:P22">
    <cfRule type="cellIs" dxfId="0" priority="7" operator="lessThan">
      <formula>0</formula>
    </cfRule>
  </conditionalFormatting>
  <conditionalFormatting sqref="P23:P26">
    <cfRule type="cellIs" dxfId="0" priority="5" operator="lessThan">
      <formula>0</formula>
    </cfRule>
  </conditionalFormatting>
  <conditionalFormatting sqref="P27:P30">
    <cfRule type="cellIs" dxfId="0" priority="28" operator="lessThan">
      <formula>0</formula>
    </cfRule>
  </conditionalFormatting>
  <conditionalFormatting sqref="P33:P38">
    <cfRule type="cellIs" dxfId="0" priority="3" operator="lessThan">
      <formula>0</formula>
    </cfRule>
  </conditionalFormatting>
  <conditionalFormatting sqref="P39:P44">
    <cfRule type="cellIs" dxfId="0" priority="1" operator="lessThan">
      <formula>0</formula>
    </cfRule>
  </conditionalFormatting>
  <conditionalFormatting sqref="Q5:Q16">
    <cfRule type="cellIs" dxfId="0" priority="83" operator="lessThan">
      <formula>0</formula>
    </cfRule>
  </conditionalFormatting>
  <conditionalFormatting sqref="Q17:Q22">
    <cfRule type="cellIs" dxfId="0" priority="8" operator="lessThan">
      <formula>0</formula>
    </cfRule>
  </conditionalFormatting>
  <conditionalFormatting sqref="Q23:Q26">
    <cfRule type="cellIs" dxfId="0" priority="6" operator="lessThan">
      <formula>0</formula>
    </cfRule>
  </conditionalFormatting>
  <conditionalFormatting sqref="Q27:Q30">
    <cfRule type="cellIs" dxfId="0" priority="29" operator="lessThan">
      <formula>0</formula>
    </cfRule>
  </conditionalFormatting>
  <conditionalFormatting sqref="Q33:Q38">
    <cfRule type="cellIs" dxfId="0" priority="4" operator="lessThan">
      <formula>0</formula>
    </cfRule>
  </conditionalFormatting>
  <conditionalFormatting sqref="Q39:Q44">
    <cfRule type="cellIs" dxfId="0" priority="2" operator="lessThan">
      <formula>0</formula>
    </cfRule>
  </conditionalFormatting>
  <pageMargins left="0.75" right="0.75" top="1" bottom="1" header="0.511805555555556" footer="0.51180555555555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5"/>
  <sheetViews>
    <sheetView zoomScale="127" zoomScaleNormal="127" workbookViewId="0">
      <pane xSplit="3" ySplit="3" topLeftCell="D78" activePane="bottomRight" state="frozen"/>
      <selection/>
      <selection pane="topRight"/>
      <selection pane="bottomLeft"/>
      <selection pane="bottomRight" activeCell="J80" sqref="J80:K95"/>
    </sheetView>
  </sheetViews>
  <sheetFormatPr defaultColWidth="9.69230769230769" defaultRowHeight="15" customHeight="1"/>
  <cols>
    <col min="1" max="1" width="7.26923076923077" style="29" customWidth="1"/>
    <col min="2" max="2" width="14.6730769230769" style="155" customWidth="1"/>
    <col min="3" max="3" width="17.1442307692308" style="156" customWidth="1"/>
    <col min="4" max="4" width="9.96153846153846" style="156" customWidth="1"/>
    <col min="5" max="5" width="13.3461538461538" style="156" customWidth="1"/>
    <col min="6" max="6" width="9.96153846153846" style="156" customWidth="1"/>
    <col min="7" max="7" width="11.0384615384615" style="156" customWidth="1"/>
    <col min="8" max="8" width="9.96153846153846" style="156" customWidth="1"/>
    <col min="9" max="9" width="9.82692307692308" style="156" customWidth="1"/>
    <col min="10" max="11" width="13.4615384615385" style="157" customWidth="1"/>
    <col min="12" max="13" width="14.6730769230769" style="28" customWidth="1"/>
    <col min="14" max="14" width="10.0961538461538" style="28"/>
    <col min="15" max="15" width="9.69230769230769" style="28"/>
    <col min="16" max="16" width="11.1730769230769" style="28"/>
    <col min="17" max="17" width="9.69230769230769" style="28"/>
    <col min="18" max="18" width="9.82692307692308" style="28"/>
    <col min="19" max="19" width="11.1730769230769" style="28"/>
    <col min="20" max="20" width="9.82692307692308" style="28"/>
    <col min="21" max="21" width="11.1730769230769" style="28"/>
    <col min="22" max="22" width="9.82692307692308" style="28"/>
    <col min="23" max="23" width="9.69230769230769" style="28"/>
    <col min="24" max="24" width="9.82692307692308" style="28"/>
    <col min="25" max="25" width="9.69230769230769" style="28"/>
    <col min="26" max="26" width="9.82692307692308" style="28"/>
    <col min="27" max="27" width="9.69230769230769" style="28"/>
    <col min="28" max="28" width="9.82692307692308" style="28"/>
    <col min="29" max="29" width="9.69230769230769" style="28"/>
    <col min="30" max="30" width="9.82692307692308" style="28"/>
    <col min="31" max="31" width="9.69230769230769" style="28"/>
    <col min="32" max="32" width="9.82692307692308" style="28"/>
    <col min="33" max="33" width="9.69230769230769" style="28"/>
    <col min="34" max="34" width="9.82692307692308" style="28"/>
    <col min="35" max="35" width="9.69230769230769" style="28"/>
    <col min="36" max="36" width="9.82692307692308" style="28"/>
    <col min="37" max="37" width="9.69230769230769" style="28"/>
    <col min="38" max="38" width="9.82692307692308" style="28"/>
    <col min="39" max="39" width="9.69230769230769" style="28"/>
    <col min="40" max="40" width="9.82692307692308" style="28"/>
    <col min="41" max="41" width="9.69230769230769" style="28"/>
    <col min="42" max="42" width="9.82692307692308" style="28"/>
    <col min="43" max="43" width="9.69230769230769" style="28"/>
    <col min="44" max="44" width="9.82692307692308" style="28"/>
    <col min="45" max="45" width="9.69230769230769" style="28"/>
    <col min="46" max="46" width="9.82692307692308" style="28"/>
    <col min="47" max="47" width="9.69230769230769" style="28"/>
    <col min="48" max="48" width="9.82692307692308" style="28"/>
    <col min="49" max="49" width="9.69230769230769" style="28"/>
    <col min="50" max="50" width="9.82692307692308" style="28"/>
    <col min="51" max="51" width="9.69230769230769" style="28"/>
    <col min="52" max="52" width="9.82692307692308" style="28"/>
    <col min="53" max="53" width="9.69230769230769" style="28"/>
    <col min="54" max="54" width="9.82692307692308" style="28"/>
    <col min="55" max="55" width="9.69230769230769" style="28"/>
    <col min="56" max="56" width="9.82692307692308" style="28"/>
    <col min="57" max="57" width="9.69230769230769" style="28"/>
    <col min="58" max="58" width="9.82692307692308" style="28"/>
    <col min="59" max="59" width="9.69230769230769" style="28"/>
    <col min="60" max="60" width="9.82692307692308" style="28"/>
    <col min="61" max="61" width="9.69230769230769" style="28"/>
    <col min="62" max="62" width="9.82692307692308" style="28"/>
    <col min="63" max="63" width="9.69230769230769" style="28"/>
    <col min="64" max="64" width="9.82692307692308" style="28"/>
    <col min="65" max="65" width="9.69230769230769" style="28"/>
    <col min="66" max="66" width="9.82692307692308" style="28"/>
    <col min="67" max="67" width="9.69230769230769" style="28"/>
    <col min="68" max="68" width="9.82692307692308" style="28"/>
    <col min="69" max="69" width="9.69230769230769" style="28"/>
    <col min="70" max="70" width="9.82692307692308" style="28"/>
    <col min="71" max="71" width="9.69230769230769" style="28"/>
    <col min="72" max="72" width="9.82692307692308" style="28"/>
    <col min="73" max="73" width="9.69230769230769" style="28"/>
    <col min="74" max="74" width="9.82692307692308" style="28"/>
    <col min="75" max="75" width="9.69230769230769" style="28"/>
    <col min="76" max="76" width="9.82692307692308" style="28"/>
    <col min="77" max="77" width="9.69230769230769" style="28"/>
    <col min="78" max="78" width="9.82692307692308" style="28"/>
    <col min="79" max="79" width="9.69230769230769" style="28"/>
    <col min="80" max="80" width="9.82692307692308" style="28"/>
    <col min="81" max="81" width="9.69230769230769" style="28"/>
    <col min="82" max="82" width="9.82692307692308" style="28"/>
    <col min="83" max="83" width="9.69230769230769" style="28"/>
    <col min="84" max="84" width="9.82692307692308" style="28"/>
    <col min="85" max="85" width="9.69230769230769" style="28"/>
    <col min="86" max="86" width="9.82692307692308" style="28"/>
    <col min="87" max="87" width="9.69230769230769" style="28"/>
    <col min="88" max="88" width="9.82692307692308" style="28"/>
    <col min="89" max="89" width="9.69230769230769" style="28"/>
    <col min="90" max="90" width="9.82692307692308" style="28"/>
    <col min="91" max="91" width="9.69230769230769" style="28"/>
    <col min="92" max="92" width="9.82692307692308" style="28"/>
    <col min="93" max="93" width="9.69230769230769" style="28"/>
    <col min="94" max="94" width="9.82692307692308" style="28"/>
    <col min="95" max="95" width="9.69230769230769" style="28"/>
    <col min="96" max="96" width="9.82692307692308" style="28"/>
    <col min="97" max="97" width="9.69230769230769" style="28"/>
    <col min="98" max="98" width="9.82692307692308" style="28"/>
    <col min="99" max="99" width="9.69230769230769" style="28"/>
    <col min="100" max="100" width="9.82692307692308" style="28"/>
    <col min="101" max="101" width="9.69230769230769" style="28"/>
    <col min="102" max="102" width="9.82692307692308" style="28"/>
    <col min="103" max="103" width="9.69230769230769" style="28"/>
    <col min="104" max="104" width="9.82692307692308" style="28"/>
    <col min="105" max="105" width="9.69230769230769" style="28"/>
    <col min="106" max="106" width="9.82692307692308" style="28"/>
    <col min="107" max="107" width="9.69230769230769" style="28"/>
    <col min="108" max="108" width="9.82692307692308" style="28"/>
    <col min="109" max="109" width="9.69230769230769" style="28"/>
    <col min="110" max="110" width="9.82692307692308" style="28"/>
    <col min="111" max="111" width="9.69230769230769" style="28"/>
    <col min="112" max="112" width="9.82692307692308" style="28"/>
    <col min="113" max="113" width="9.69230769230769" style="28"/>
    <col min="114" max="114" width="9.82692307692308" style="28"/>
    <col min="115" max="115" width="9.69230769230769" style="28"/>
    <col min="116" max="116" width="9.82692307692308" style="28"/>
    <col min="117" max="117" width="9.69230769230769" style="28"/>
    <col min="118" max="118" width="9.82692307692308" style="28"/>
    <col min="119" max="119" width="9.69230769230769" style="28"/>
    <col min="120" max="120" width="9.82692307692308" style="28"/>
    <col min="121" max="121" width="9.69230769230769" style="28"/>
    <col min="122" max="122" width="9.82692307692308" style="28"/>
    <col min="123" max="123" width="9.69230769230769" style="28"/>
    <col min="124" max="124" width="9.82692307692308" style="28"/>
    <col min="125" max="125" width="9.69230769230769" style="28"/>
    <col min="126" max="126" width="9.82692307692308" style="28"/>
    <col min="127" max="127" width="9.69230769230769" style="28"/>
    <col min="128" max="128" width="9.82692307692308" style="28"/>
    <col min="129" max="129" width="9.69230769230769" style="28"/>
    <col min="130" max="130" width="9.82692307692308" style="28"/>
    <col min="131" max="131" width="9.69230769230769" style="28"/>
    <col min="132" max="132" width="9.82692307692308" style="28"/>
    <col min="133" max="133" width="9.69230769230769" style="28"/>
    <col min="134" max="134" width="9.82692307692308" style="28"/>
    <col min="135" max="135" width="9.69230769230769" style="28"/>
    <col min="136" max="136" width="9.82692307692308" style="28"/>
    <col min="137" max="137" width="9.69230769230769" style="28"/>
    <col min="138" max="138" width="9.82692307692308" style="28"/>
    <col min="139" max="139" width="9.69230769230769" style="28"/>
    <col min="140" max="140" width="9.82692307692308" style="28"/>
    <col min="141" max="141" width="9.69230769230769" style="28"/>
    <col min="142" max="142" width="9.82692307692308" style="28"/>
    <col min="143" max="143" width="9.69230769230769" style="28"/>
    <col min="144" max="144" width="9.82692307692308" style="28"/>
    <col min="145" max="145" width="9.69230769230769" style="28"/>
    <col min="146" max="146" width="9.82692307692308" style="28"/>
    <col min="147" max="147" width="9.69230769230769" style="28"/>
    <col min="148" max="148" width="9.82692307692308" style="28"/>
    <col min="149" max="149" width="9.69230769230769" style="28"/>
    <col min="150" max="150" width="9.82692307692308" style="28"/>
    <col min="151" max="151" width="9.69230769230769" style="28"/>
    <col min="152" max="152" width="9.82692307692308" style="28"/>
    <col min="153" max="153" width="9.69230769230769" style="28"/>
    <col min="154" max="154" width="9.82692307692308" style="28"/>
    <col min="155" max="155" width="9.69230769230769" style="28"/>
    <col min="156" max="156" width="9.82692307692308" style="28"/>
    <col min="157" max="157" width="9.69230769230769" style="28"/>
    <col min="158" max="158" width="9.82692307692308" style="28"/>
    <col min="159" max="159" width="9.69230769230769" style="28"/>
    <col min="160" max="160" width="9.82692307692308" style="28"/>
    <col min="161" max="161" width="9.69230769230769" style="28"/>
    <col min="162" max="162" width="9.82692307692308" style="28"/>
    <col min="163" max="163" width="9.69230769230769" style="28"/>
    <col min="164" max="164" width="9.82692307692308" style="28"/>
    <col min="165" max="165" width="9.69230769230769" style="28"/>
    <col min="166" max="166" width="9.82692307692308" style="28"/>
    <col min="167" max="167" width="9.69230769230769" style="28"/>
    <col min="168" max="168" width="9.82692307692308" style="28"/>
    <col min="169" max="169" width="9.69230769230769" style="28"/>
    <col min="170" max="170" width="9.82692307692308" style="28"/>
    <col min="171" max="171" width="9.69230769230769" style="28"/>
    <col min="172" max="172" width="9.82692307692308" style="28"/>
    <col min="173" max="173" width="9.69230769230769" style="28"/>
    <col min="174" max="174" width="9.82692307692308" style="28"/>
    <col min="175" max="175" width="9.69230769230769" style="28"/>
    <col min="176" max="176" width="9.82692307692308" style="28"/>
    <col min="177" max="177" width="9.69230769230769" style="28"/>
    <col min="178" max="178" width="9.82692307692308" style="28"/>
    <col min="179" max="179" width="9.69230769230769" style="28"/>
    <col min="180" max="180" width="9.82692307692308" style="28"/>
    <col min="181" max="181" width="9.69230769230769" style="28"/>
    <col min="182" max="182" width="9.82692307692308" style="28"/>
    <col min="183" max="183" width="9.69230769230769" style="28"/>
    <col min="184" max="184" width="9.82692307692308" style="28"/>
    <col min="185" max="185" width="9.69230769230769" style="28"/>
    <col min="186" max="186" width="9.82692307692308" style="28"/>
    <col min="187" max="187" width="9.69230769230769" style="28"/>
    <col min="188" max="188" width="9.82692307692308" style="28"/>
    <col min="189" max="189" width="9.69230769230769" style="28"/>
    <col min="190" max="190" width="9.82692307692308" style="28"/>
    <col min="191" max="191" width="9.69230769230769" style="28"/>
    <col min="192" max="192" width="9.82692307692308" style="28"/>
    <col min="193" max="193" width="9.69230769230769" style="28"/>
    <col min="194" max="194" width="9.82692307692308" style="28"/>
    <col min="195" max="195" width="9.69230769230769" style="28"/>
    <col min="196" max="196" width="9.82692307692308" style="28"/>
    <col min="197" max="197" width="9.69230769230769" style="28"/>
    <col min="198" max="198" width="9.82692307692308" style="28"/>
    <col min="199" max="199" width="9.69230769230769" style="28"/>
    <col min="200" max="200" width="9.82692307692308" style="28"/>
    <col min="201" max="201" width="9.69230769230769" style="28"/>
    <col min="202" max="202" width="9.82692307692308" style="28"/>
    <col min="203" max="203" width="9.69230769230769" style="28"/>
    <col min="204" max="204" width="9.82692307692308" style="28"/>
    <col min="205" max="16384" width="9.69230769230769" style="28"/>
  </cols>
  <sheetData>
    <row r="1" s="28" customFormat="1" ht="37.5" customHeight="1" spans="1:12">
      <c r="A1" s="242" t="s">
        <v>181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</row>
    <row r="2" s="153" customFormat="1" ht="19.5" customHeight="1" spans="1:12">
      <c r="A2" s="244" t="s">
        <v>105</v>
      </c>
      <c r="B2" s="245" t="s">
        <v>106</v>
      </c>
      <c r="C2" s="246" t="s">
        <v>107</v>
      </c>
      <c r="D2" s="247" t="s">
        <v>12</v>
      </c>
      <c r="E2" s="247"/>
      <c r="F2" s="247" t="s">
        <v>13</v>
      </c>
      <c r="G2" s="247"/>
      <c r="H2" s="247" t="s">
        <v>14</v>
      </c>
      <c r="I2" s="247"/>
      <c r="J2" s="248" t="s">
        <v>182</v>
      </c>
      <c r="K2" s="162" t="s">
        <v>183</v>
      </c>
    </row>
    <row r="3" s="153" customFormat="1" ht="24" customHeight="1" spans="1:12">
      <c r="A3" s="244"/>
      <c r="B3" s="249"/>
      <c r="C3" s="250"/>
      <c r="D3" s="251" t="s">
        <v>111</v>
      </c>
      <c r="E3" s="251" t="s">
        <v>112</v>
      </c>
      <c r="F3" s="251" t="s">
        <v>111</v>
      </c>
      <c r="G3" s="251" t="s">
        <v>112</v>
      </c>
      <c r="H3" s="251" t="s">
        <v>111</v>
      </c>
      <c r="I3" s="251" t="s">
        <v>112</v>
      </c>
      <c r="J3" s="252"/>
      <c r="K3" s="253"/>
    </row>
    <row r="4" s="28" customFormat="1" hidden="1" customHeight="1" spans="1:12">
      <c r="A4" s="168" t="s">
        <v>119</v>
      </c>
      <c r="B4" s="175" t="s">
        <v>32</v>
      </c>
      <c r="C4" s="254" t="s">
        <v>120</v>
      </c>
      <c r="D4" s="227">
        <v>5942</v>
      </c>
      <c r="E4" s="228">
        <v>17030.71</v>
      </c>
      <c r="F4" s="227"/>
      <c r="G4" s="228"/>
      <c r="H4" s="229"/>
      <c r="I4" s="229"/>
      <c r="J4" s="255"/>
      <c r="K4" s="255"/>
    </row>
    <row r="5" s="28" customFormat="1" hidden="1" customHeight="1" spans="1:12">
      <c r="A5" s="174"/>
      <c r="B5" s="175"/>
      <c r="C5" s="256" t="s">
        <v>184</v>
      </c>
      <c r="D5" s="171">
        <v>2640</v>
      </c>
      <c r="E5" s="191">
        <v>16944.37</v>
      </c>
      <c r="F5" s="171"/>
      <c r="G5" s="191"/>
      <c r="H5" s="172"/>
      <c r="I5" s="172"/>
      <c r="J5" s="173"/>
      <c r="K5" s="173"/>
    </row>
    <row r="6" s="28" customFormat="1" hidden="1" customHeight="1" spans="1:12">
      <c r="A6" s="174"/>
      <c r="B6" s="175"/>
      <c r="C6" s="256" t="s">
        <v>122</v>
      </c>
      <c r="D6" s="171">
        <f>230+2433</f>
        <v>2663</v>
      </c>
      <c r="E6" s="191">
        <f>1610+18719.47</f>
        <v>20329.47</v>
      </c>
      <c r="F6" s="171"/>
      <c r="G6" s="191"/>
      <c r="H6" s="172"/>
      <c r="I6" s="172"/>
      <c r="J6" s="173"/>
      <c r="K6" s="173"/>
    </row>
    <row r="7" s="28" customFormat="1" hidden="1" customHeight="1" spans="1:12">
      <c r="A7" s="174"/>
      <c r="B7" s="175"/>
      <c r="C7" s="256" t="s">
        <v>123</v>
      </c>
      <c r="D7" s="171">
        <v>2372</v>
      </c>
      <c r="E7" s="191">
        <v>6886.6</v>
      </c>
      <c r="F7" s="171"/>
      <c r="G7" s="191"/>
      <c r="H7" s="172"/>
      <c r="I7" s="172"/>
      <c r="J7" s="176"/>
      <c r="K7" s="176"/>
    </row>
    <row r="8" s="28" customFormat="1" hidden="1" customHeight="1" spans="1:12">
      <c r="A8" s="174"/>
      <c r="B8" s="175"/>
      <c r="C8" s="256" t="s">
        <v>124</v>
      </c>
      <c r="D8" s="171">
        <v>3081</v>
      </c>
      <c r="E8" s="191">
        <v>26127.94</v>
      </c>
      <c r="F8" s="171"/>
      <c r="G8" s="191"/>
      <c r="H8" s="172"/>
      <c r="I8" s="172"/>
      <c r="J8" s="173"/>
      <c r="K8" s="173"/>
    </row>
    <row r="9" s="28" customFormat="1" hidden="1" customHeight="1" spans="1:12">
      <c r="A9" s="174"/>
      <c r="B9" s="175"/>
      <c r="C9" s="256" t="s">
        <v>125</v>
      </c>
      <c r="D9" s="171">
        <v>993</v>
      </c>
      <c r="E9" s="191">
        <v>2519</v>
      </c>
      <c r="F9" s="171"/>
      <c r="G9" s="191"/>
      <c r="H9" s="172"/>
      <c r="I9" s="172"/>
      <c r="J9" s="176"/>
      <c r="K9" s="176"/>
    </row>
    <row r="10" s="28" customFormat="1" hidden="1" customHeight="1" spans="1:12">
      <c r="A10" s="174"/>
      <c r="B10" s="175"/>
      <c r="C10" s="256" t="s">
        <v>126</v>
      </c>
      <c r="D10" s="171">
        <v>689</v>
      </c>
      <c r="E10" s="191">
        <v>6967.71</v>
      </c>
      <c r="F10" s="171"/>
      <c r="G10" s="191"/>
      <c r="H10" s="172"/>
      <c r="I10" s="172"/>
      <c r="J10" s="176"/>
      <c r="K10" s="176"/>
    </row>
    <row r="11" s="28" customFormat="1" hidden="1" customHeight="1" spans="1:12">
      <c r="A11" s="174"/>
      <c r="B11" s="175"/>
      <c r="C11" s="256" t="s">
        <v>127</v>
      </c>
      <c r="D11" s="171">
        <v>542</v>
      </c>
      <c r="E11" s="191">
        <v>7498.38</v>
      </c>
      <c r="F11" s="171"/>
      <c r="G11" s="191"/>
      <c r="H11" s="172"/>
      <c r="I11" s="172"/>
      <c r="J11" s="173"/>
      <c r="K11" s="173"/>
    </row>
    <row r="12" s="28" customFormat="1" hidden="1" customHeight="1" spans="1:12">
      <c r="A12" s="174"/>
      <c r="B12" s="175"/>
      <c r="C12" s="256" t="s">
        <v>128</v>
      </c>
      <c r="D12" s="171">
        <v>111</v>
      </c>
      <c r="E12" s="191">
        <v>532</v>
      </c>
      <c r="F12" s="171"/>
      <c r="G12" s="191"/>
      <c r="H12" s="172"/>
      <c r="I12" s="172"/>
      <c r="J12" s="176"/>
      <c r="K12" s="176"/>
    </row>
    <row r="13" s="28" customFormat="1" hidden="1" customHeight="1" spans="1:12">
      <c r="A13" s="174"/>
      <c r="B13" s="175"/>
      <c r="C13" s="256" t="s">
        <v>129</v>
      </c>
      <c r="D13" s="171">
        <v>59</v>
      </c>
      <c r="E13" s="191">
        <v>133.5</v>
      </c>
      <c r="F13" s="171"/>
      <c r="G13" s="191"/>
      <c r="H13" s="172"/>
      <c r="I13" s="172"/>
      <c r="J13" s="176"/>
      <c r="K13" s="176"/>
    </row>
    <row r="14" s="28" customFormat="1" hidden="1" customHeight="1" spans="1:12">
      <c r="A14" s="174"/>
      <c r="B14" s="175"/>
      <c r="C14" s="257" t="s">
        <v>130</v>
      </c>
      <c r="D14" s="178">
        <v>569</v>
      </c>
      <c r="E14" s="179">
        <v>7187.1</v>
      </c>
      <c r="F14" s="178"/>
      <c r="G14" s="179"/>
      <c r="H14" s="180"/>
      <c r="I14" s="180"/>
      <c r="J14" s="258"/>
      <c r="K14" s="258"/>
    </row>
    <row r="15" s="28" customFormat="1" customHeight="1" spans="1:12">
      <c r="A15" s="182"/>
      <c r="B15" s="183" t="s">
        <v>131</v>
      </c>
      <c r="C15" s="259" t="s">
        <v>120</v>
      </c>
      <c r="D15" s="185">
        <v>6645</v>
      </c>
      <c r="E15" s="186">
        <v>22468.49</v>
      </c>
      <c r="F15" s="185">
        <f>145+5926</f>
        <v>6071</v>
      </c>
      <c r="G15" s="186">
        <f>289.91+17907.46</f>
        <v>18197.37</v>
      </c>
      <c r="H15" s="187">
        <f>D15+F15</f>
        <v>12716</v>
      </c>
      <c r="I15" s="187">
        <f>E15+G15</f>
        <v>40665.86</v>
      </c>
      <c r="J15" s="260">
        <f>H15/SUM($H$15:$H$24)</f>
        <v>0.282364435759648</v>
      </c>
      <c r="K15" s="261">
        <f>I15/SUM($I$15:$I$27)</f>
        <v>0.160809543956309</v>
      </c>
      <c r="L15" s="28">
        <f>K16+K18+K22</f>
        <v>0.45142786483173</v>
      </c>
    </row>
    <row r="16" s="28" customFormat="1" customHeight="1" spans="1:12">
      <c r="A16" s="182"/>
      <c r="B16" s="190"/>
      <c r="C16" s="256" t="s">
        <v>121</v>
      </c>
      <c r="D16" s="171">
        <v>5096</v>
      </c>
      <c r="E16" s="191">
        <v>32795.79</v>
      </c>
      <c r="F16" s="171">
        <f>49+5200</f>
        <v>5249</v>
      </c>
      <c r="G16" s="191">
        <f>484+33155.76</f>
        <v>33639.76</v>
      </c>
      <c r="H16" s="172">
        <f t="shared" ref="H16:H79" si="0">D16+F16</f>
        <v>10345</v>
      </c>
      <c r="I16" s="172">
        <f t="shared" ref="I16:I47" si="1">E16+G16</f>
        <v>66435.55</v>
      </c>
      <c r="J16" s="262">
        <f t="shared" ref="J16:J28" si="2">H16/SUM($H$15:$H$24)</f>
        <v>0.229715326197984</v>
      </c>
      <c r="K16" s="220">
        <f t="shared" ref="K16:K27" si="3">I16/SUM($I$15:$I$27)</f>
        <v>0.262713502136351</v>
      </c>
    </row>
    <row r="17" s="28" customFormat="1" customHeight="1" spans="1:23">
      <c r="A17" s="182"/>
      <c r="B17" s="190"/>
      <c r="C17" s="256" t="s">
        <v>117</v>
      </c>
      <c r="D17" s="171">
        <v>4548</v>
      </c>
      <c r="E17" s="191">
        <v>12271.02</v>
      </c>
      <c r="F17" s="171">
        <f>591+4078</f>
        <v>4669</v>
      </c>
      <c r="G17" s="191">
        <f>1690.72+10967.15</f>
        <v>12657.87</v>
      </c>
      <c r="H17" s="172">
        <f t="shared" si="0"/>
        <v>9217</v>
      </c>
      <c r="I17" s="172">
        <f t="shared" si="1"/>
        <v>24928.89</v>
      </c>
      <c r="J17" s="192">
        <f t="shared" si="2"/>
        <v>0.204667584491717</v>
      </c>
      <c r="K17" s="194">
        <f t="shared" si="3"/>
        <v>0.0985790890008717</v>
      </c>
    </row>
    <row r="18" s="28" customFormat="1" customHeight="1" spans="1:23">
      <c r="A18" s="182"/>
      <c r="B18" s="190"/>
      <c r="C18" s="256" t="s">
        <v>122</v>
      </c>
      <c r="D18" s="171">
        <v>2121</v>
      </c>
      <c r="E18" s="191">
        <v>17467.36</v>
      </c>
      <c r="F18" s="171">
        <f>1456+1252</f>
        <v>2708</v>
      </c>
      <c r="G18" s="191">
        <f>14495.11+7504.2</f>
        <v>21999.31</v>
      </c>
      <c r="H18" s="172">
        <f t="shared" si="0"/>
        <v>4829</v>
      </c>
      <c r="I18" s="172">
        <f t="shared" si="1"/>
        <v>39466.67</v>
      </c>
      <c r="J18" s="192">
        <f t="shared" si="2"/>
        <v>0.107230092818759</v>
      </c>
      <c r="K18" s="194">
        <f t="shared" si="3"/>
        <v>0.156067453243928</v>
      </c>
      <c r="M18" s="18"/>
      <c r="N18" s="18"/>
      <c r="O18" s="18"/>
      <c r="P18" s="18"/>
      <c r="Q18" s="18"/>
      <c r="R18" s="18"/>
      <c r="S18" s="18"/>
      <c r="T18" s="18"/>
      <c r="U18" s="18"/>
    </row>
    <row r="19" s="28" customFormat="1" customHeight="1" spans="1:23">
      <c r="A19" s="182"/>
      <c r="B19" s="190"/>
      <c r="C19" s="256" t="s">
        <v>141</v>
      </c>
      <c r="D19" s="171">
        <v>2083</v>
      </c>
      <c r="E19" s="191">
        <v>18937.66</v>
      </c>
      <c r="F19" s="171">
        <v>1808</v>
      </c>
      <c r="G19" s="191">
        <v>16652.62</v>
      </c>
      <c r="H19" s="172">
        <f t="shared" si="0"/>
        <v>3891</v>
      </c>
      <c r="I19" s="172">
        <f t="shared" si="1"/>
        <v>35590.28</v>
      </c>
      <c r="J19" s="192">
        <f t="shared" si="2"/>
        <v>0.086401385619754</v>
      </c>
      <c r="K19" s="194">
        <f t="shared" si="3"/>
        <v>0.140738612095683</v>
      </c>
      <c r="M19" s="18"/>
      <c r="N19" s="18"/>
      <c r="O19" s="18"/>
      <c r="P19" s="18"/>
      <c r="Q19" s="18"/>
      <c r="R19" s="18"/>
      <c r="S19" s="18"/>
      <c r="T19" s="18"/>
      <c r="U19" s="18"/>
    </row>
    <row r="20" s="28" customFormat="1" customHeight="1" spans="1:23">
      <c r="A20" s="182"/>
      <c r="B20" s="190"/>
      <c r="C20" s="256" t="s">
        <v>126</v>
      </c>
      <c r="D20" s="171">
        <v>597</v>
      </c>
      <c r="E20" s="191">
        <v>6017.44</v>
      </c>
      <c r="F20" s="171">
        <v>586</v>
      </c>
      <c r="G20" s="191">
        <v>6023.86</v>
      </c>
      <c r="H20" s="172">
        <f t="shared" si="0"/>
        <v>1183</v>
      </c>
      <c r="I20" s="172">
        <f t="shared" si="1"/>
        <v>12041.3</v>
      </c>
      <c r="J20" s="192">
        <f t="shared" si="2"/>
        <v>0.0262690411688946</v>
      </c>
      <c r="K20" s="220">
        <f t="shared" si="3"/>
        <v>0.0476162550513158</v>
      </c>
      <c r="M20" s="18"/>
      <c r="N20" s="18"/>
      <c r="O20" s="18"/>
      <c r="P20" s="18"/>
      <c r="Q20" s="18"/>
      <c r="R20" s="18"/>
      <c r="S20" s="18"/>
      <c r="T20" s="18"/>
      <c r="U20" s="18"/>
    </row>
    <row r="21" s="28" customFormat="1" customHeight="1" spans="1:23">
      <c r="A21" s="182"/>
      <c r="B21" s="190"/>
      <c r="C21" s="256" t="s">
        <v>128</v>
      </c>
      <c r="D21" s="171">
        <v>134</v>
      </c>
      <c r="E21" s="191">
        <v>560.69</v>
      </c>
      <c r="F21" s="171">
        <f>95+151</f>
        <v>246</v>
      </c>
      <c r="G21" s="191">
        <f>380+762</f>
        <v>1142</v>
      </c>
      <c r="H21" s="172">
        <f t="shared" si="0"/>
        <v>380</v>
      </c>
      <c r="I21" s="172">
        <f t="shared" si="1"/>
        <v>1702.69</v>
      </c>
      <c r="J21" s="192">
        <f t="shared" si="2"/>
        <v>0.00843806901452236</v>
      </c>
      <c r="K21" s="194">
        <f t="shared" si="3"/>
        <v>0.00673313689662453</v>
      </c>
      <c r="L21" s="28">
        <f>K20+K23</f>
        <v>0.139725254607749</v>
      </c>
      <c r="M21" s="18"/>
      <c r="N21" s="18"/>
      <c r="O21" s="18"/>
      <c r="P21" s="18"/>
      <c r="Q21" s="18"/>
      <c r="R21" s="18"/>
      <c r="S21" s="18"/>
      <c r="T21" s="18"/>
      <c r="U21" s="18"/>
    </row>
    <row r="22" s="28" customFormat="1" customHeight="1" spans="1:23">
      <c r="A22" s="182"/>
      <c r="B22" s="190"/>
      <c r="C22" s="256" t="s">
        <v>133</v>
      </c>
      <c r="D22" s="171">
        <v>268</v>
      </c>
      <c r="E22" s="191">
        <v>3795.82</v>
      </c>
      <c r="F22" s="171">
        <f>20+294</f>
        <v>314</v>
      </c>
      <c r="G22" s="191">
        <f>360+4100</f>
        <v>4460</v>
      </c>
      <c r="H22" s="172">
        <f t="shared" si="0"/>
        <v>582</v>
      </c>
      <c r="I22" s="172">
        <f t="shared" si="1"/>
        <v>8255.82</v>
      </c>
      <c r="J22" s="192">
        <f t="shared" si="2"/>
        <v>0.0129235688590842</v>
      </c>
      <c r="K22" s="194">
        <f t="shared" si="3"/>
        <v>0.0326469094514508</v>
      </c>
      <c r="M22" s="18"/>
      <c r="N22" s="18"/>
      <c r="O22" s="18"/>
      <c r="P22" s="18"/>
      <c r="Q22" s="18"/>
      <c r="R22" s="18"/>
      <c r="S22" s="18"/>
      <c r="T22" s="18"/>
      <c r="U22" s="18"/>
    </row>
    <row r="23" s="28" customFormat="1" customHeight="1" spans="1:23">
      <c r="A23" s="182"/>
      <c r="B23" s="190"/>
      <c r="C23" s="256" t="s">
        <v>130</v>
      </c>
      <c r="D23" s="171">
        <v>641</v>
      </c>
      <c r="E23" s="191">
        <v>9888.45</v>
      </c>
      <c r="F23" s="171">
        <f>32+445+398</f>
        <v>875</v>
      </c>
      <c r="G23" s="191">
        <f>416+6588.27+6400</f>
        <v>13404.27</v>
      </c>
      <c r="H23" s="172">
        <f t="shared" si="0"/>
        <v>1516</v>
      </c>
      <c r="I23" s="172">
        <f t="shared" si="1"/>
        <v>23292.72</v>
      </c>
      <c r="J23" s="192">
        <f t="shared" si="2"/>
        <v>0.0336634542789892</v>
      </c>
      <c r="K23" s="220">
        <f t="shared" si="3"/>
        <v>0.0921089995564337</v>
      </c>
      <c r="M23" s="18"/>
      <c r="N23" s="18"/>
      <c r="O23" s="18"/>
      <c r="P23" s="18"/>
      <c r="Q23" s="18"/>
      <c r="R23" s="18"/>
      <c r="S23" s="18"/>
      <c r="T23" s="18"/>
      <c r="U23" s="18"/>
    </row>
    <row r="24" s="28" customFormat="1" customHeight="1" spans="1:23">
      <c r="A24" s="182"/>
      <c r="B24" s="190"/>
      <c r="C24" s="256" t="s">
        <v>134</v>
      </c>
      <c r="D24" s="171">
        <v>180</v>
      </c>
      <c r="E24" s="191">
        <v>241.89</v>
      </c>
      <c r="F24" s="171">
        <f>4+191</f>
        <v>195</v>
      </c>
      <c r="G24" s="191">
        <f>32+228.46</f>
        <v>260.46</v>
      </c>
      <c r="H24" s="172">
        <f t="shared" si="0"/>
        <v>375</v>
      </c>
      <c r="I24" s="172">
        <f t="shared" si="1"/>
        <v>502.35</v>
      </c>
      <c r="J24" s="192">
        <f t="shared" si="2"/>
        <v>0.00832704179064707</v>
      </c>
      <c r="K24" s="194">
        <f t="shared" si="3"/>
        <v>0.00198649861103274</v>
      </c>
      <c r="M24" s="18"/>
      <c r="N24" s="18"/>
      <c r="O24" s="18"/>
      <c r="P24" s="18"/>
      <c r="Q24" s="18"/>
      <c r="R24" s="18"/>
      <c r="S24" s="18"/>
      <c r="T24" s="18"/>
      <c r="U24" s="18"/>
    </row>
    <row r="25" s="28" customFormat="1" customHeight="1" spans="1:23">
      <c r="A25" s="182"/>
      <c r="B25" s="190"/>
      <c r="C25" s="256" t="s">
        <v>135</v>
      </c>
      <c r="D25" s="171"/>
      <c r="E25" s="191"/>
      <c r="F25" s="171"/>
      <c r="G25" s="191"/>
      <c r="H25" s="172">
        <f t="shared" si="0"/>
        <v>0</v>
      </c>
      <c r="I25" s="172">
        <f t="shared" si="1"/>
        <v>0</v>
      </c>
      <c r="J25" s="192">
        <f t="shared" si="2"/>
        <v>0</v>
      </c>
      <c r="K25" s="194">
        <f t="shared" si="3"/>
        <v>0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="28" customFormat="1" customHeight="1" spans="1:23">
      <c r="A26" s="182"/>
      <c r="B26" s="190"/>
      <c r="C26" s="256" t="s">
        <v>136</v>
      </c>
      <c r="D26" s="171"/>
      <c r="E26" s="191"/>
      <c r="F26" s="171"/>
      <c r="G26" s="191"/>
      <c r="H26" s="172">
        <f t="shared" si="0"/>
        <v>0</v>
      </c>
      <c r="I26" s="172">
        <f t="shared" si="1"/>
        <v>0</v>
      </c>
      <c r="J26" s="192">
        <f t="shared" si="2"/>
        <v>0</v>
      </c>
      <c r="K26" s="194">
        <f t="shared" si="3"/>
        <v>0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s="28" customFormat="1" customHeight="1" spans="1:23">
      <c r="A27" s="182"/>
      <c r="B27" s="197"/>
      <c r="C27" s="263" t="s">
        <v>137</v>
      </c>
      <c r="D27" s="199"/>
      <c r="E27" s="200"/>
      <c r="F27" s="199"/>
      <c r="G27" s="200"/>
      <c r="H27" s="201">
        <f t="shared" si="0"/>
        <v>0</v>
      </c>
      <c r="I27" s="201">
        <f t="shared" si="1"/>
        <v>0</v>
      </c>
      <c r="J27" s="202">
        <f t="shared" si="2"/>
        <v>0</v>
      </c>
      <c r="K27" s="203">
        <f t="shared" si="3"/>
        <v>0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s="28" customFormat="1" customHeight="1" spans="1:23">
      <c r="A28" s="182"/>
      <c r="B28" s="264" t="s">
        <v>138</v>
      </c>
      <c r="C28" s="265" t="s">
        <v>121</v>
      </c>
      <c r="D28" s="185">
        <v>7547</v>
      </c>
      <c r="E28" s="186">
        <v>42417.14</v>
      </c>
      <c r="F28" s="185">
        <v>7773</v>
      </c>
      <c r="G28" s="186">
        <v>43176.71</v>
      </c>
      <c r="H28" s="187">
        <f t="shared" si="0"/>
        <v>15320</v>
      </c>
      <c r="I28" s="187">
        <f t="shared" si="1"/>
        <v>85593.85</v>
      </c>
      <c r="J28" s="266">
        <f>H28/SUM($H$28:$H$40)</f>
        <v>0.238284105579145</v>
      </c>
      <c r="K28" s="267">
        <f>I28/SUM($I$28:$I$40)</f>
        <v>0.260341794329744</v>
      </c>
      <c r="L28" s="28">
        <f>K28+K29</f>
        <v>0.3921975067988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s="28" customFormat="1" customHeight="1" spans="1:23">
      <c r="A29" s="182"/>
      <c r="B29" s="268"/>
      <c r="C29" s="256" t="s">
        <v>122</v>
      </c>
      <c r="D29" s="171">
        <f>420+2603</f>
        <v>3023</v>
      </c>
      <c r="E29" s="191">
        <f>3780+17716.94</f>
        <v>21496.94</v>
      </c>
      <c r="F29" s="171">
        <v>3258</v>
      </c>
      <c r="G29" s="191">
        <v>21853.91</v>
      </c>
      <c r="H29" s="172">
        <f t="shared" si="0"/>
        <v>6281</v>
      </c>
      <c r="I29" s="172">
        <f t="shared" si="1"/>
        <v>43350.85</v>
      </c>
      <c r="J29" s="176">
        <f t="shared" ref="J29:J40" si="4">H29/SUM($H$28:$H$40)</f>
        <v>0.0976933725288912</v>
      </c>
      <c r="K29" s="269">
        <f t="shared" ref="K29:K40" si="5">I29/SUM($I$28:$I$40)</f>
        <v>0.131855712469057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s="28" customFormat="1" customHeight="1" spans="1:23">
      <c r="A30" s="182"/>
      <c r="B30" s="268"/>
      <c r="C30" s="270" t="s">
        <v>120</v>
      </c>
      <c r="D30" s="171">
        <v>9272</v>
      </c>
      <c r="E30" s="191">
        <v>32177.73</v>
      </c>
      <c r="F30" s="171">
        <v>9628</v>
      </c>
      <c r="G30" s="191">
        <v>35087.99</v>
      </c>
      <c r="H30" s="172">
        <f t="shared" si="0"/>
        <v>18900</v>
      </c>
      <c r="I30" s="172">
        <f t="shared" si="1"/>
        <v>67265.72</v>
      </c>
      <c r="J30" s="173">
        <f t="shared" si="4"/>
        <v>0.293966683775839</v>
      </c>
      <c r="K30" s="211">
        <f t="shared" si="5"/>
        <v>0.204595052584761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="28" customFormat="1" customHeight="1" spans="1:23">
      <c r="A31" s="182"/>
      <c r="B31" s="268"/>
      <c r="C31" s="256" t="s">
        <v>139</v>
      </c>
      <c r="D31" s="171">
        <v>7058</v>
      </c>
      <c r="E31" s="191">
        <v>18174.87</v>
      </c>
      <c r="F31" s="171">
        <v>7422</v>
      </c>
      <c r="G31" s="191">
        <v>18841.79</v>
      </c>
      <c r="H31" s="172">
        <f t="shared" si="0"/>
        <v>14480</v>
      </c>
      <c r="I31" s="172">
        <f t="shared" si="1"/>
        <v>37016.66</v>
      </c>
      <c r="J31" s="176">
        <f t="shared" si="4"/>
        <v>0.225218919633553</v>
      </c>
      <c r="K31" s="211">
        <f t="shared" si="5"/>
        <v>0.112589674193812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s="28" customFormat="1" customHeight="1" spans="1:23">
      <c r="A32" s="182"/>
      <c r="B32" s="268"/>
      <c r="C32" s="256" t="s">
        <v>140</v>
      </c>
      <c r="D32" s="171"/>
      <c r="E32" s="191"/>
      <c r="F32" s="171"/>
      <c r="G32" s="191"/>
      <c r="H32" s="172">
        <f t="shared" si="0"/>
        <v>0</v>
      </c>
      <c r="I32" s="172">
        <f t="shared" si="1"/>
        <v>0</v>
      </c>
      <c r="J32" s="176">
        <f t="shared" si="4"/>
        <v>0</v>
      </c>
      <c r="K32" s="269">
        <f t="shared" si="5"/>
        <v>0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s="28" customFormat="1" customHeight="1" spans="1:28">
      <c r="A33" s="182"/>
      <c r="B33" s="268"/>
      <c r="C33" s="256" t="s">
        <v>129</v>
      </c>
      <c r="D33" s="171">
        <f>824</f>
        <v>824</v>
      </c>
      <c r="E33" s="191">
        <v>902.38</v>
      </c>
      <c r="F33" s="171">
        <v>666</v>
      </c>
      <c r="G33" s="191">
        <v>943.94</v>
      </c>
      <c r="H33" s="172">
        <f t="shared" si="0"/>
        <v>1490</v>
      </c>
      <c r="I33" s="172">
        <f t="shared" si="1"/>
        <v>1846.32</v>
      </c>
      <c r="J33" s="176">
        <f t="shared" si="4"/>
        <v>0.0231751512606349</v>
      </c>
      <c r="K33" s="269">
        <f t="shared" si="5"/>
        <v>0.00561575699313552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s="28" customFormat="1" customHeight="1" spans="1:28">
      <c r="A34" s="182"/>
      <c r="B34" s="268"/>
      <c r="C34" s="256" t="s">
        <v>141</v>
      </c>
      <c r="D34" s="171">
        <f>141+395</f>
        <v>536</v>
      </c>
      <c r="E34" s="191">
        <f>1261.9+2837.4</f>
        <v>4099.3</v>
      </c>
      <c r="F34" s="171">
        <f>4+754</f>
        <v>758</v>
      </c>
      <c r="G34" s="191">
        <f>32.7+5626.59</f>
        <v>5659.29</v>
      </c>
      <c r="H34" s="172">
        <f t="shared" si="0"/>
        <v>1294</v>
      </c>
      <c r="I34" s="172">
        <f t="shared" si="1"/>
        <v>9758.59</v>
      </c>
      <c r="J34" s="176">
        <f t="shared" si="4"/>
        <v>0.0201266078733299</v>
      </c>
      <c r="K34" s="269">
        <f t="shared" si="5"/>
        <v>0.0296816749185636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s="28" customFormat="1" customHeight="1" spans="1:28">
      <c r="A35" s="182"/>
      <c r="B35" s="268"/>
      <c r="C35" s="256" t="s">
        <v>142</v>
      </c>
      <c r="D35" s="171"/>
      <c r="E35" s="191"/>
      <c r="F35" s="171"/>
      <c r="G35" s="191"/>
      <c r="H35" s="172">
        <f t="shared" si="0"/>
        <v>0</v>
      </c>
      <c r="I35" s="172">
        <f t="shared" si="1"/>
        <v>0</v>
      </c>
      <c r="J35" s="176">
        <f t="shared" si="4"/>
        <v>0</v>
      </c>
      <c r="K35" s="269">
        <f t="shared" si="5"/>
        <v>0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s="28" customFormat="1" customHeight="1" spans="1:28">
      <c r="A36" s="182"/>
      <c r="B36" s="268"/>
      <c r="C36" s="256" t="s">
        <v>143</v>
      </c>
      <c r="D36" s="171">
        <f>485</f>
        <v>485</v>
      </c>
      <c r="E36" s="191">
        <f>4935.5</f>
        <v>4935.5</v>
      </c>
      <c r="F36" s="171">
        <v>429</v>
      </c>
      <c r="G36" s="191">
        <v>4994</v>
      </c>
      <c r="H36" s="172">
        <f t="shared" si="0"/>
        <v>914</v>
      </c>
      <c r="I36" s="172">
        <f t="shared" si="1"/>
        <v>9929.5</v>
      </c>
      <c r="J36" s="176">
        <f t="shared" si="4"/>
        <v>0.0142161666122284</v>
      </c>
      <c r="K36" s="269">
        <f t="shared" si="5"/>
        <v>0.0302015138563949</v>
      </c>
      <c r="L36" s="28">
        <f>K38+K37</f>
        <v>0.225118820654532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s="28" customFormat="1" customHeight="1" spans="1:28">
      <c r="A37" s="182"/>
      <c r="B37" s="268"/>
      <c r="C37" s="270" t="s">
        <v>126</v>
      </c>
      <c r="D37" s="171">
        <v>1124</v>
      </c>
      <c r="E37" s="191">
        <v>11402.32</v>
      </c>
      <c r="F37" s="171">
        <v>1185</v>
      </c>
      <c r="G37" s="191">
        <v>12575.11</v>
      </c>
      <c r="H37" s="172">
        <f t="shared" si="0"/>
        <v>2309</v>
      </c>
      <c r="I37" s="172">
        <f t="shared" si="1"/>
        <v>23977.43</v>
      </c>
      <c r="J37" s="176">
        <f t="shared" si="4"/>
        <v>0.0359137075575879</v>
      </c>
      <c r="K37" s="211">
        <f t="shared" si="5"/>
        <v>0.0729296222756171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s="28" customFormat="1" customHeight="1" spans="1:28">
      <c r="A38" s="182"/>
      <c r="B38" s="268"/>
      <c r="C38" s="270" t="s">
        <v>130</v>
      </c>
      <c r="D38" s="171">
        <v>1591</v>
      </c>
      <c r="E38" s="191">
        <v>24053.95</v>
      </c>
      <c r="F38" s="171">
        <v>1714</v>
      </c>
      <c r="G38" s="191">
        <v>25982.04</v>
      </c>
      <c r="H38" s="172">
        <f t="shared" si="0"/>
        <v>3305</v>
      </c>
      <c r="I38" s="172">
        <f t="shared" si="1"/>
        <v>50035.99</v>
      </c>
      <c r="J38" s="176">
        <f t="shared" si="4"/>
        <v>0.0514052851787908</v>
      </c>
      <c r="K38" s="211">
        <f t="shared" si="5"/>
        <v>0.152189198378915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="28" customFormat="1" customHeight="1" spans="1:28">
      <c r="A39" s="182"/>
      <c r="B39" s="268"/>
      <c r="C39" s="256" t="s">
        <v>144</v>
      </c>
      <c r="D39" s="171"/>
      <c r="E39" s="191"/>
      <c r="F39" s="171"/>
      <c r="G39" s="191"/>
      <c r="H39" s="172">
        <f t="shared" si="0"/>
        <v>0</v>
      </c>
      <c r="I39" s="172">
        <f t="shared" si="1"/>
        <v>0</v>
      </c>
      <c r="J39" s="176">
        <f t="shared" si="4"/>
        <v>0</v>
      </c>
      <c r="K39" s="269">
        <f t="shared" si="5"/>
        <v>0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="28" customFormat="1" customHeight="1" spans="1:28">
      <c r="A40" s="182"/>
      <c r="B40" s="271"/>
      <c r="C40" s="263" t="s">
        <v>137</v>
      </c>
      <c r="D40" s="199"/>
      <c r="E40" s="200"/>
      <c r="F40" s="199"/>
      <c r="G40" s="200"/>
      <c r="H40" s="201">
        <f t="shared" si="0"/>
        <v>0</v>
      </c>
      <c r="I40" s="201">
        <f t="shared" si="1"/>
        <v>0</v>
      </c>
      <c r="J40" s="272">
        <f t="shared" si="4"/>
        <v>0</v>
      </c>
      <c r="K40" s="273">
        <f t="shared" si="5"/>
        <v>0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="28" customFormat="1" customHeight="1" spans="1:28">
      <c r="A41" s="182"/>
      <c r="B41" s="183" t="s">
        <v>145</v>
      </c>
      <c r="C41" s="274" t="s">
        <v>121</v>
      </c>
      <c r="D41" s="185">
        <f>5372</f>
        <v>5372</v>
      </c>
      <c r="E41" s="186">
        <f>29097.9</f>
        <v>29097.9</v>
      </c>
      <c r="F41" s="185">
        <v>5683</v>
      </c>
      <c r="G41" s="186">
        <v>30367.4</v>
      </c>
      <c r="H41" s="187">
        <f t="shared" si="0"/>
        <v>11055</v>
      </c>
      <c r="I41" s="187">
        <f t="shared" si="1"/>
        <v>59465.3</v>
      </c>
      <c r="J41" s="260">
        <f>H41/SUM($H$41:$H$52)</f>
        <v>0.327342176951321</v>
      </c>
      <c r="K41" s="217">
        <f>I41/SUM($I$41:$I$52)</f>
        <v>0.358223619808374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="28" customFormat="1" customHeight="1" spans="1:28">
      <c r="A42" s="182"/>
      <c r="B42" s="190"/>
      <c r="C42" s="256" t="s">
        <v>146</v>
      </c>
      <c r="D42" s="171">
        <f>3341</f>
        <v>3341</v>
      </c>
      <c r="E42" s="191">
        <f>8374.82</f>
        <v>8374.82</v>
      </c>
      <c r="F42" s="171">
        <v>3844</v>
      </c>
      <c r="G42" s="191">
        <v>9377.05</v>
      </c>
      <c r="H42" s="172">
        <f t="shared" si="0"/>
        <v>7185</v>
      </c>
      <c r="I42" s="172">
        <f t="shared" si="1"/>
        <v>17751.87</v>
      </c>
      <c r="J42" s="230">
        <f t="shared" ref="J42:J52" si="6">H42/SUM($H$41:$H$52)</f>
        <v>0.212750207272297</v>
      </c>
      <c r="K42" s="275">
        <f t="shared" ref="K42:K52" si="7">I42/SUM($I$41:$I$52)</f>
        <v>0.106938653799236</v>
      </c>
    </row>
    <row r="43" s="28" customFormat="1" customHeight="1" spans="1:28">
      <c r="A43" s="182"/>
      <c r="B43" s="190"/>
      <c r="C43" s="276" t="s">
        <v>122</v>
      </c>
      <c r="D43" s="171">
        <f>1049+1546</f>
        <v>2595</v>
      </c>
      <c r="E43" s="191">
        <f>7830.29+9591.65</f>
        <v>17421.94</v>
      </c>
      <c r="F43" s="171">
        <v>2685</v>
      </c>
      <c r="G43" s="191">
        <v>16956.58</v>
      </c>
      <c r="H43" s="172">
        <f t="shared" si="0"/>
        <v>5280</v>
      </c>
      <c r="I43" s="172">
        <f t="shared" si="1"/>
        <v>34378.52</v>
      </c>
      <c r="J43" s="277">
        <f t="shared" si="6"/>
        <v>0.156342532275258</v>
      </c>
      <c r="K43" s="278">
        <f t="shared" si="7"/>
        <v>0.207098894280439</v>
      </c>
    </row>
    <row r="44" s="28" customFormat="1" customHeight="1" spans="1:28">
      <c r="A44" s="182"/>
      <c r="B44" s="190"/>
      <c r="C44" s="256" t="s">
        <v>120</v>
      </c>
      <c r="D44" s="171">
        <f>2739</f>
        <v>2739</v>
      </c>
      <c r="E44" s="191">
        <f>7104.96</f>
        <v>7104.96</v>
      </c>
      <c r="F44" s="171">
        <v>3546</v>
      </c>
      <c r="G44" s="191">
        <v>10794.48</v>
      </c>
      <c r="H44" s="172">
        <f t="shared" si="0"/>
        <v>6285</v>
      </c>
      <c r="I44" s="172">
        <f t="shared" si="1"/>
        <v>17899.44</v>
      </c>
      <c r="J44" s="230">
        <f t="shared" si="6"/>
        <v>0.186100911998105</v>
      </c>
      <c r="K44" s="275">
        <f t="shared" si="7"/>
        <v>0.10782762702522</v>
      </c>
    </row>
    <row r="45" s="28" customFormat="1" customHeight="1" spans="1:28">
      <c r="A45" s="182"/>
      <c r="B45" s="190"/>
      <c r="C45" s="279" t="s">
        <v>148</v>
      </c>
      <c r="D45" s="171">
        <f>163</f>
        <v>163</v>
      </c>
      <c r="E45" s="191">
        <f>2866.47</f>
        <v>2866.47</v>
      </c>
      <c r="F45" s="171">
        <v>116</v>
      </c>
      <c r="G45" s="191">
        <v>2051.03</v>
      </c>
      <c r="H45" s="172">
        <f t="shared" si="0"/>
        <v>279</v>
      </c>
      <c r="I45" s="172">
        <f t="shared" si="1"/>
        <v>4917.5</v>
      </c>
      <c r="J45" s="230">
        <f t="shared" si="6"/>
        <v>0.00826128153499941</v>
      </c>
      <c r="K45" s="280">
        <f t="shared" si="7"/>
        <v>0.0296234047487809</v>
      </c>
    </row>
    <row r="46" s="28" customFormat="1" customHeight="1" spans="1:28">
      <c r="A46" s="182"/>
      <c r="B46" s="190"/>
      <c r="C46" s="256" t="s">
        <v>149</v>
      </c>
      <c r="D46" s="171">
        <f>67</f>
        <v>67</v>
      </c>
      <c r="E46" s="191">
        <f>137.26</f>
        <v>137.26</v>
      </c>
      <c r="F46" s="171">
        <v>186</v>
      </c>
      <c r="G46" s="191">
        <v>216.23</v>
      </c>
      <c r="H46" s="172">
        <f t="shared" si="0"/>
        <v>253</v>
      </c>
      <c r="I46" s="172">
        <f t="shared" si="1"/>
        <v>353.49</v>
      </c>
      <c r="J46" s="230">
        <f t="shared" si="6"/>
        <v>0.00749141300485609</v>
      </c>
      <c r="K46" s="275">
        <f t="shared" si="7"/>
        <v>0.00212945141731501</v>
      </c>
    </row>
    <row r="47" s="28" customFormat="1" customHeight="1" spans="1:28">
      <c r="A47" s="182"/>
      <c r="B47" s="190"/>
      <c r="C47" s="276" t="s">
        <v>126</v>
      </c>
      <c r="D47" s="171">
        <f>713</f>
        <v>713</v>
      </c>
      <c r="E47" s="191">
        <f>7074.89</f>
        <v>7074.89</v>
      </c>
      <c r="F47" s="171">
        <v>863</v>
      </c>
      <c r="G47" s="191">
        <v>8586.11</v>
      </c>
      <c r="H47" s="172">
        <f t="shared" si="0"/>
        <v>1576</v>
      </c>
      <c r="I47" s="172">
        <f t="shared" si="1"/>
        <v>15661</v>
      </c>
      <c r="J47" s="230">
        <f t="shared" si="6"/>
        <v>0.0466658770579178</v>
      </c>
      <c r="K47" s="278">
        <f t="shared" si="7"/>
        <v>0.0943430893280442</v>
      </c>
    </row>
    <row r="48" s="28" customFormat="1" customHeight="1" spans="1:28">
      <c r="A48" s="182"/>
      <c r="B48" s="190"/>
      <c r="C48" s="256" t="s">
        <v>150</v>
      </c>
      <c r="D48" s="171">
        <f>20</f>
        <v>20</v>
      </c>
      <c r="E48" s="191">
        <f>271</f>
        <v>271</v>
      </c>
      <c r="F48" s="171">
        <v>16</v>
      </c>
      <c r="G48" s="191">
        <v>220</v>
      </c>
      <c r="H48" s="172">
        <f t="shared" si="0"/>
        <v>36</v>
      </c>
      <c r="I48" s="172">
        <f t="shared" ref="I48:I80" si="8">E48+G48</f>
        <v>491</v>
      </c>
      <c r="J48" s="230">
        <f t="shared" si="6"/>
        <v>0.00106597181096767</v>
      </c>
      <c r="K48" s="275">
        <f t="shared" si="7"/>
        <v>0.00295782241619754</v>
      </c>
    </row>
    <row r="49" s="28" customFormat="1" customHeight="1" spans="1:12">
      <c r="A49" s="182"/>
      <c r="B49" s="190"/>
      <c r="C49" s="256" t="s">
        <v>151</v>
      </c>
      <c r="D49" s="171">
        <f>982</f>
        <v>982</v>
      </c>
      <c r="E49" s="191">
        <f>8498.91</f>
        <v>8498.91</v>
      </c>
      <c r="F49" s="171">
        <v>841</v>
      </c>
      <c r="G49" s="191">
        <v>6583.47</v>
      </c>
      <c r="H49" s="172">
        <f t="shared" si="0"/>
        <v>1823</v>
      </c>
      <c r="I49" s="172">
        <f t="shared" si="8"/>
        <v>15082.38</v>
      </c>
      <c r="J49" s="230">
        <f t="shared" si="6"/>
        <v>0.0539796280942793</v>
      </c>
      <c r="K49" s="275">
        <f t="shared" si="7"/>
        <v>0.0908574371763941</v>
      </c>
    </row>
    <row r="50" s="28" customFormat="1" customHeight="1" spans="1:12">
      <c r="A50" s="182"/>
      <c r="B50" s="190"/>
      <c r="C50" s="256" t="s">
        <v>135</v>
      </c>
      <c r="D50" s="171"/>
      <c r="E50" s="191"/>
      <c r="F50" s="171"/>
      <c r="G50" s="191"/>
      <c r="H50" s="172">
        <f t="shared" si="0"/>
        <v>0</v>
      </c>
      <c r="I50" s="172">
        <f t="shared" si="8"/>
        <v>0</v>
      </c>
      <c r="J50" s="230">
        <f t="shared" si="6"/>
        <v>0</v>
      </c>
      <c r="K50" s="275">
        <f t="shared" si="7"/>
        <v>0</v>
      </c>
    </row>
    <row r="51" s="28" customFormat="1" customHeight="1" spans="1:12">
      <c r="A51" s="182"/>
      <c r="B51" s="190"/>
      <c r="C51" s="256" t="s">
        <v>144</v>
      </c>
      <c r="D51" s="171"/>
      <c r="E51" s="191"/>
      <c r="F51" s="171"/>
      <c r="G51" s="191"/>
      <c r="H51" s="172">
        <f t="shared" si="0"/>
        <v>0</v>
      </c>
      <c r="I51" s="172">
        <f t="shared" si="8"/>
        <v>0</v>
      </c>
      <c r="J51" s="230">
        <f t="shared" si="6"/>
        <v>0</v>
      </c>
      <c r="K51" s="275">
        <f t="shared" si="7"/>
        <v>0</v>
      </c>
    </row>
    <row r="52" s="28" customFormat="1" customHeight="1" spans="1:12">
      <c r="A52" s="182"/>
      <c r="B52" s="197"/>
      <c r="C52" s="263" t="s">
        <v>152</v>
      </c>
      <c r="D52" s="199"/>
      <c r="E52" s="200"/>
      <c r="F52" s="199"/>
      <c r="G52" s="200"/>
      <c r="H52" s="201">
        <f t="shared" si="0"/>
        <v>0</v>
      </c>
      <c r="I52" s="201">
        <f t="shared" si="8"/>
        <v>0</v>
      </c>
      <c r="J52" s="281">
        <f t="shared" si="6"/>
        <v>0</v>
      </c>
      <c r="K52" s="282">
        <f t="shared" si="7"/>
        <v>0</v>
      </c>
    </row>
    <row r="53" s="28" customFormat="1" customHeight="1" spans="1:12">
      <c r="A53" s="182"/>
      <c r="B53" s="183" t="s">
        <v>53</v>
      </c>
      <c r="C53" s="274" t="s">
        <v>153</v>
      </c>
      <c r="D53" s="185">
        <f>7842</f>
        <v>7842</v>
      </c>
      <c r="E53" s="186">
        <f>42904.21</f>
        <v>42904.21</v>
      </c>
      <c r="F53" s="185">
        <v>8410</v>
      </c>
      <c r="G53" s="186">
        <v>45848.79</v>
      </c>
      <c r="H53" s="187">
        <f t="shared" si="0"/>
        <v>16252</v>
      </c>
      <c r="I53" s="187">
        <f t="shared" si="8"/>
        <v>88753</v>
      </c>
      <c r="J53" s="260">
        <f>H53/SUM($H$53:$H$65)</f>
        <v>0.370737048611903</v>
      </c>
      <c r="K53" s="217">
        <f>I53/SUM($I$53:$I$65)</f>
        <v>0.353351952527028</v>
      </c>
      <c r="L53" s="28">
        <f>K53+K56+K59</f>
        <v>0.60316154705195</v>
      </c>
    </row>
    <row r="54" s="28" customFormat="1" customHeight="1" spans="1:12">
      <c r="A54" s="182"/>
      <c r="B54" s="190"/>
      <c r="C54" s="256" t="s">
        <v>116</v>
      </c>
      <c r="D54" s="171">
        <f>2760</f>
        <v>2760</v>
      </c>
      <c r="E54" s="191">
        <f>5240.25</f>
        <v>5240.25</v>
      </c>
      <c r="F54" s="171">
        <v>3420</v>
      </c>
      <c r="G54" s="191">
        <v>6699.1</v>
      </c>
      <c r="H54" s="172">
        <f t="shared" si="0"/>
        <v>6180</v>
      </c>
      <c r="I54" s="172">
        <f t="shared" si="8"/>
        <v>11939.35</v>
      </c>
      <c r="J54" s="230">
        <f t="shared" ref="J54:J65" si="9">H54/SUM($H$53:$H$65)</f>
        <v>0.140976800419737</v>
      </c>
      <c r="K54" s="275">
        <f t="shared" ref="K54:K65" si="10">I54/SUM($I$53:$I$65)</f>
        <v>0.0475340848692841</v>
      </c>
    </row>
    <row r="55" s="28" customFormat="1" customHeight="1" spans="1:12">
      <c r="A55" s="182"/>
      <c r="B55" s="190"/>
      <c r="C55" s="256" t="s">
        <v>117</v>
      </c>
      <c r="D55" s="171">
        <f>3184</f>
        <v>3184</v>
      </c>
      <c r="E55" s="191">
        <f>8728.05</f>
        <v>8728.05</v>
      </c>
      <c r="F55" s="171">
        <v>3755</v>
      </c>
      <c r="G55" s="191">
        <v>10239.23</v>
      </c>
      <c r="H55" s="172">
        <f t="shared" si="0"/>
        <v>6939</v>
      </c>
      <c r="I55" s="172">
        <f t="shared" si="8"/>
        <v>18967.28</v>
      </c>
      <c r="J55" s="230">
        <f t="shared" si="9"/>
        <v>0.158290941442161</v>
      </c>
      <c r="K55" s="275">
        <f t="shared" si="10"/>
        <v>0.0755143535669425</v>
      </c>
    </row>
    <row r="56" s="28" customFormat="1" customHeight="1" spans="1:12">
      <c r="A56" s="182"/>
      <c r="B56" s="190"/>
      <c r="C56" s="276" t="s">
        <v>154</v>
      </c>
      <c r="D56" s="171">
        <f>3866</f>
        <v>3866</v>
      </c>
      <c r="E56" s="191">
        <f>25221.56</f>
        <v>25221.56</v>
      </c>
      <c r="F56" s="171">
        <v>3869</v>
      </c>
      <c r="G56" s="191">
        <v>25404.53</v>
      </c>
      <c r="H56" s="172">
        <f t="shared" si="0"/>
        <v>7735</v>
      </c>
      <c r="I56" s="172">
        <f t="shared" si="8"/>
        <v>50626.09</v>
      </c>
      <c r="J56" s="230">
        <f t="shared" si="9"/>
        <v>0.176449118324703</v>
      </c>
      <c r="K56" s="278">
        <f t="shared" si="10"/>
        <v>0.201557443132165</v>
      </c>
    </row>
    <row r="57" s="28" customFormat="1" customHeight="1" spans="1:12">
      <c r="A57" s="182"/>
      <c r="B57" s="190"/>
      <c r="C57" s="276" t="s">
        <v>155</v>
      </c>
      <c r="D57" s="171">
        <f>1557</f>
        <v>1557</v>
      </c>
      <c r="E57" s="191">
        <f>23248.14</f>
        <v>23248.14</v>
      </c>
      <c r="F57" s="171">
        <v>1408</v>
      </c>
      <c r="G57" s="191">
        <v>21073.69</v>
      </c>
      <c r="H57" s="172">
        <f t="shared" si="0"/>
        <v>2965</v>
      </c>
      <c r="I57" s="172">
        <f t="shared" si="8"/>
        <v>44321.83</v>
      </c>
      <c r="J57" s="230">
        <f t="shared" si="9"/>
        <v>0.0676369277094692</v>
      </c>
      <c r="K57" s="278">
        <f t="shared" si="10"/>
        <v>0.176458318818192</v>
      </c>
      <c r="L57" s="28">
        <f>K57+K58</f>
        <v>0.220022812825347</v>
      </c>
    </row>
    <row r="58" s="28" customFormat="1" customHeight="1" spans="1:12">
      <c r="A58" s="182"/>
      <c r="B58" s="190"/>
      <c r="C58" s="256" t="s">
        <v>126</v>
      </c>
      <c r="D58" s="171">
        <f>519</f>
        <v>519</v>
      </c>
      <c r="E58" s="191">
        <f>5406.71</f>
        <v>5406.71</v>
      </c>
      <c r="F58" s="171">
        <v>522</v>
      </c>
      <c r="G58" s="191">
        <v>5535.58</v>
      </c>
      <c r="H58" s="172">
        <f t="shared" si="0"/>
        <v>1041</v>
      </c>
      <c r="I58" s="172">
        <f t="shared" si="8"/>
        <v>10942.29</v>
      </c>
      <c r="J58" s="230">
        <f t="shared" si="9"/>
        <v>0.0237470629833246</v>
      </c>
      <c r="K58" s="278">
        <f t="shared" si="10"/>
        <v>0.0435644940071544</v>
      </c>
    </row>
    <row r="59" s="28" customFormat="1" customHeight="1" spans="1:12">
      <c r="A59" s="182"/>
      <c r="B59" s="190"/>
      <c r="C59" s="256" t="s">
        <v>133</v>
      </c>
      <c r="D59" s="171">
        <f>446</f>
        <v>446</v>
      </c>
      <c r="E59" s="191">
        <f>5973.14</f>
        <v>5973.14</v>
      </c>
      <c r="F59" s="171">
        <v>452</v>
      </c>
      <c r="G59" s="191">
        <v>6146.57</v>
      </c>
      <c r="H59" s="172">
        <f t="shared" si="0"/>
        <v>898</v>
      </c>
      <c r="I59" s="172">
        <f t="shared" si="8"/>
        <v>12119.71</v>
      </c>
      <c r="J59" s="230">
        <f t="shared" si="9"/>
        <v>0.0204849784428679</v>
      </c>
      <c r="K59" s="275">
        <f t="shared" si="10"/>
        <v>0.0482521513927568</v>
      </c>
    </row>
    <row r="60" s="28" customFormat="1" customHeight="1" spans="1:12">
      <c r="A60" s="182"/>
      <c r="B60" s="190"/>
      <c r="C60" s="256" t="s">
        <v>141</v>
      </c>
      <c r="D60" s="171">
        <f>733</f>
        <v>733</v>
      </c>
      <c r="E60" s="191">
        <f>6174.61</f>
        <v>6174.61</v>
      </c>
      <c r="F60" s="171">
        <v>850</v>
      </c>
      <c r="G60" s="191">
        <v>7001.04</v>
      </c>
      <c r="H60" s="172">
        <f t="shared" si="0"/>
        <v>1583</v>
      </c>
      <c r="I60" s="172">
        <f t="shared" si="8"/>
        <v>13175.65</v>
      </c>
      <c r="J60" s="230">
        <f t="shared" si="9"/>
        <v>0.0361110477450555</v>
      </c>
      <c r="K60" s="275">
        <f t="shared" si="10"/>
        <v>0.0524561609558295</v>
      </c>
    </row>
    <row r="61" s="28" customFormat="1" customHeight="1" spans="1:12">
      <c r="A61" s="182"/>
      <c r="B61" s="190"/>
      <c r="C61" s="256" t="s">
        <v>156</v>
      </c>
      <c r="D61" s="171">
        <f>161</f>
        <v>161</v>
      </c>
      <c r="E61" s="191">
        <f>120.8</f>
        <v>120.8</v>
      </c>
      <c r="F61" s="171">
        <v>82</v>
      </c>
      <c r="G61" s="191">
        <v>188.5</v>
      </c>
      <c r="H61" s="172">
        <f t="shared" si="0"/>
        <v>243</v>
      </c>
      <c r="I61" s="172">
        <f t="shared" si="8"/>
        <v>309.3</v>
      </c>
      <c r="J61" s="230">
        <f t="shared" si="9"/>
        <v>0.00554326254077606</v>
      </c>
      <c r="K61" s="275">
        <f t="shared" si="10"/>
        <v>0.00123141481320755</v>
      </c>
    </row>
    <row r="62" s="28" customFormat="1" customHeight="1" spans="1:12">
      <c r="A62" s="182"/>
      <c r="B62" s="190"/>
      <c r="C62" s="256" t="s">
        <v>157</v>
      </c>
      <c r="D62" s="171"/>
      <c r="E62" s="191"/>
      <c r="F62" s="171">
        <v>1</v>
      </c>
      <c r="G62" s="191">
        <v>20</v>
      </c>
      <c r="H62" s="172">
        <f t="shared" si="0"/>
        <v>1</v>
      </c>
      <c r="I62" s="172">
        <f t="shared" si="8"/>
        <v>20</v>
      </c>
      <c r="J62" s="230">
        <f t="shared" si="9"/>
        <v>2.28117800031936e-5</v>
      </c>
      <c r="K62" s="275">
        <f t="shared" si="10"/>
        <v>7.96259174398675e-5</v>
      </c>
    </row>
    <row r="63" s="28" customFormat="1" customHeight="1" spans="1:12">
      <c r="A63" s="182"/>
      <c r="B63" s="190"/>
      <c r="C63" s="223" t="s">
        <v>142</v>
      </c>
      <c r="D63" s="171"/>
      <c r="E63" s="191"/>
      <c r="F63" s="171"/>
      <c r="G63" s="191"/>
      <c r="H63" s="172">
        <f t="shared" si="0"/>
        <v>0</v>
      </c>
      <c r="I63" s="172">
        <f t="shared" si="8"/>
        <v>0</v>
      </c>
      <c r="J63" s="230">
        <f t="shared" si="9"/>
        <v>0</v>
      </c>
      <c r="K63" s="275">
        <f t="shared" si="10"/>
        <v>0</v>
      </c>
    </row>
    <row r="64" s="28" customFormat="1" customHeight="1" spans="1:12">
      <c r="A64" s="182"/>
      <c r="B64" s="190"/>
      <c r="C64" s="223" t="s">
        <v>158</v>
      </c>
      <c r="D64" s="171"/>
      <c r="E64" s="191"/>
      <c r="F64" s="171"/>
      <c r="G64" s="191"/>
      <c r="H64" s="172">
        <f t="shared" si="0"/>
        <v>0</v>
      </c>
      <c r="I64" s="172">
        <f t="shared" si="8"/>
        <v>0</v>
      </c>
      <c r="J64" s="230">
        <f t="shared" si="9"/>
        <v>0</v>
      </c>
      <c r="K64" s="275">
        <f t="shared" si="10"/>
        <v>0</v>
      </c>
    </row>
    <row r="65" s="28" customFormat="1" customHeight="1" spans="1:13">
      <c r="A65" s="182"/>
      <c r="B65" s="197"/>
      <c r="C65" s="263" t="s">
        <v>137</v>
      </c>
      <c r="D65" s="199"/>
      <c r="E65" s="200"/>
      <c r="F65" s="199"/>
      <c r="G65" s="200"/>
      <c r="H65" s="201">
        <f t="shared" si="0"/>
        <v>0</v>
      </c>
      <c r="I65" s="201">
        <f t="shared" si="8"/>
        <v>0</v>
      </c>
      <c r="J65" s="281">
        <f t="shared" si="9"/>
        <v>0</v>
      </c>
      <c r="K65" s="282">
        <f t="shared" si="10"/>
        <v>0</v>
      </c>
    </row>
    <row r="66" s="28" customFormat="1" customHeight="1" spans="1:13">
      <c r="A66" s="174" t="s">
        <v>159</v>
      </c>
      <c r="B66" s="175" t="s">
        <v>55</v>
      </c>
      <c r="C66" s="254" t="s">
        <v>160</v>
      </c>
      <c r="D66" s="227">
        <f>3680</f>
        <v>3680</v>
      </c>
      <c r="E66" s="228">
        <f>20381.92</f>
        <v>20381.92</v>
      </c>
      <c r="F66" s="227">
        <v>3778</v>
      </c>
      <c r="G66" s="228">
        <v>20836.66</v>
      </c>
      <c r="H66" s="229">
        <f t="shared" si="0"/>
        <v>7458</v>
      </c>
      <c r="I66" s="229">
        <f t="shared" si="8"/>
        <v>41218.58</v>
      </c>
      <c r="J66" s="230">
        <f>H66/SUM($H$66:$H$79)</f>
        <v>0.280481383978939</v>
      </c>
      <c r="K66" s="230">
        <f>I66/SUM($I$66:$I$79)</f>
        <v>0.231820879637006</v>
      </c>
    </row>
    <row r="67" s="28" customFormat="1" customHeight="1" spans="1:13">
      <c r="A67" s="174"/>
      <c r="B67" s="175"/>
      <c r="C67" s="256" t="s">
        <v>116</v>
      </c>
      <c r="D67" s="171">
        <f>2290</f>
        <v>2290</v>
      </c>
      <c r="E67" s="191">
        <f>8873.93</f>
        <v>8873.93</v>
      </c>
      <c r="F67" s="171">
        <v>2373</v>
      </c>
      <c r="G67" s="191">
        <v>8422.49</v>
      </c>
      <c r="H67" s="172">
        <f t="shared" si="0"/>
        <v>4663</v>
      </c>
      <c r="I67" s="172">
        <f t="shared" si="8"/>
        <v>17296.42</v>
      </c>
      <c r="J67" s="230">
        <f>H67/SUM($H$66:$H$79)</f>
        <v>0.175366679202708</v>
      </c>
      <c r="K67" s="230">
        <f>I67/SUM($I$66:$I$79)</f>
        <v>0.097278249250001</v>
      </c>
    </row>
    <row r="68" s="28" customFormat="1" customHeight="1" spans="1:13">
      <c r="A68" s="174"/>
      <c r="B68" s="175"/>
      <c r="C68" s="256" t="s">
        <v>161</v>
      </c>
      <c r="D68" s="171">
        <f>41</f>
        <v>41</v>
      </c>
      <c r="E68" s="191">
        <f>93.91</f>
        <v>93.91</v>
      </c>
      <c r="F68" s="171">
        <v>35</v>
      </c>
      <c r="G68" s="191">
        <v>65.91</v>
      </c>
      <c r="H68" s="172">
        <f t="shared" si="0"/>
        <v>76</v>
      </c>
      <c r="I68" s="172">
        <f t="shared" si="8"/>
        <v>159.82</v>
      </c>
      <c r="J68" s="230">
        <f>H68/SUM($H$66:$H$79)</f>
        <v>0.00285821737495299</v>
      </c>
      <c r="K68" s="230">
        <f>I68/SUM($I$66:$I$79)</f>
        <v>0.000898857092689421</v>
      </c>
    </row>
    <row r="69" s="28" customFormat="1" customHeight="1" spans="1:13">
      <c r="A69" s="174"/>
      <c r="B69" s="175"/>
      <c r="C69" s="256" t="s">
        <v>117</v>
      </c>
      <c r="D69" s="171">
        <f>2173</f>
        <v>2173</v>
      </c>
      <c r="E69" s="191">
        <f>6799.74</f>
        <v>6799.74</v>
      </c>
      <c r="F69" s="171">
        <v>2509</v>
      </c>
      <c r="G69" s="191">
        <v>9522.96</v>
      </c>
      <c r="H69" s="172">
        <f t="shared" si="0"/>
        <v>4682</v>
      </c>
      <c r="I69" s="172">
        <f t="shared" si="8"/>
        <v>16322.7</v>
      </c>
      <c r="J69" s="230">
        <f>H69/SUM($H$66:$H$79)</f>
        <v>0.176081233546446</v>
      </c>
      <c r="K69" s="230">
        <f>I69/SUM($I$66:$I$79)</f>
        <v>0.0918018687701265</v>
      </c>
    </row>
    <row r="70" s="28" customFormat="1" customHeight="1" spans="1:13">
      <c r="A70" s="174"/>
      <c r="B70" s="175"/>
      <c r="C70" s="256" t="s">
        <v>122</v>
      </c>
      <c r="D70" s="171">
        <f>1372+389</f>
        <v>1761</v>
      </c>
      <c r="E70" s="191">
        <f>10398.31+3112</f>
        <v>13510.31</v>
      </c>
      <c r="F70" s="171">
        <v>2065</v>
      </c>
      <c r="G70" s="191">
        <v>15082.11</v>
      </c>
      <c r="H70" s="172">
        <f t="shared" si="0"/>
        <v>3826</v>
      </c>
      <c r="I70" s="172">
        <f t="shared" si="8"/>
        <v>28592.42</v>
      </c>
      <c r="J70" s="230">
        <f>H70/SUM($H$66:$H$79)</f>
        <v>0.14388867995487</v>
      </c>
      <c r="K70" s="230">
        <f>I70/SUM($I$66:$I$79)</f>
        <v>0.160809032124608</v>
      </c>
    </row>
    <row r="71" s="28" customFormat="1" customHeight="1" spans="1:13">
      <c r="A71" s="174"/>
      <c r="B71" s="175"/>
      <c r="C71" s="256" t="s">
        <v>130</v>
      </c>
      <c r="D71" s="171">
        <v>1165</v>
      </c>
      <c r="E71" s="191">
        <v>17738.76</v>
      </c>
      <c r="F71" s="171">
        <v>1175</v>
      </c>
      <c r="G71" s="191">
        <v>17399.9</v>
      </c>
      <c r="H71" s="172">
        <f t="shared" si="0"/>
        <v>2340</v>
      </c>
      <c r="I71" s="172">
        <f t="shared" si="8"/>
        <v>35138.66</v>
      </c>
      <c r="J71" s="230">
        <f>H71/SUM($H$66:$H$79)</f>
        <v>0.0880030086498684</v>
      </c>
      <c r="K71" s="230">
        <f>I71/SUM($I$66:$I$79)</f>
        <v>0.197626290630722</v>
      </c>
    </row>
    <row r="72" s="28" customFormat="1" customHeight="1" spans="1:13">
      <c r="A72" s="174"/>
      <c r="B72" s="175"/>
      <c r="C72" s="256" t="s">
        <v>162</v>
      </c>
      <c r="D72" s="171">
        <v>300</v>
      </c>
      <c r="E72" s="191">
        <v>4308.76</v>
      </c>
      <c r="F72" s="171">
        <v>280</v>
      </c>
      <c r="G72" s="191">
        <v>4010</v>
      </c>
      <c r="H72" s="172">
        <f t="shared" si="0"/>
        <v>580</v>
      </c>
      <c r="I72" s="172">
        <f t="shared" si="8"/>
        <v>8318.76</v>
      </c>
      <c r="J72" s="230">
        <f>H72/SUM($H$66:$H$79)</f>
        <v>0.0218127115456939</v>
      </c>
      <c r="K72" s="230">
        <f>I72/SUM($I$66:$I$79)</f>
        <v>0.0467862371942251</v>
      </c>
    </row>
    <row r="73" s="28" customFormat="1" customHeight="1" spans="1:13">
      <c r="A73" s="174"/>
      <c r="B73" s="175"/>
      <c r="C73" s="256" t="s">
        <v>163</v>
      </c>
      <c r="D73" s="171">
        <v>361</v>
      </c>
      <c r="E73" s="191">
        <v>3843.44</v>
      </c>
      <c r="F73" s="171">
        <v>509</v>
      </c>
      <c r="G73" s="191">
        <v>5227.96</v>
      </c>
      <c r="H73" s="172">
        <f t="shared" si="0"/>
        <v>870</v>
      </c>
      <c r="I73" s="172">
        <f t="shared" si="8"/>
        <v>9071.4</v>
      </c>
      <c r="J73" s="230">
        <f>H73/SUM($H$66:$H$79)</f>
        <v>0.0327190673185408</v>
      </c>
      <c r="K73" s="230">
        <f>I73/SUM($I$66:$I$79)</f>
        <v>0.0510192230673434</v>
      </c>
    </row>
    <row r="74" s="28" customFormat="1" customHeight="1" spans="1:13">
      <c r="A74" s="174"/>
      <c r="B74" s="175"/>
      <c r="C74" s="256" t="s">
        <v>164</v>
      </c>
      <c r="D74" s="171">
        <v>1181</v>
      </c>
      <c r="E74" s="191">
        <v>11585.03</v>
      </c>
      <c r="F74" s="171">
        <v>900</v>
      </c>
      <c r="G74" s="191">
        <v>8739.35</v>
      </c>
      <c r="H74" s="172">
        <f t="shared" si="0"/>
        <v>2081</v>
      </c>
      <c r="I74" s="172">
        <f t="shared" si="8"/>
        <v>20324.38</v>
      </c>
      <c r="J74" s="230">
        <f>H74/SUM($H$66:$H$79)</f>
        <v>0.0782625047010154</v>
      </c>
      <c r="K74" s="230">
        <f>I74/SUM($I$66:$I$79)</f>
        <v>0.114308053544707</v>
      </c>
    </row>
    <row r="75" s="28" customFormat="1" customHeight="1" spans="1:13">
      <c r="A75" s="174"/>
      <c r="B75" s="175"/>
      <c r="C75" s="256" t="s">
        <v>157</v>
      </c>
      <c r="D75" s="171">
        <v>4</v>
      </c>
      <c r="E75" s="191">
        <v>35</v>
      </c>
      <c r="F75" s="171">
        <v>1</v>
      </c>
      <c r="G75" s="191">
        <v>5</v>
      </c>
      <c r="H75" s="172">
        <f t="shared" si="0"/>
        <v>5</v>
      </c>
      <c r="I75" s="172">
        <f t="shared" si="8"/>
        <v>40</v>
      </c>
      <c r="J75" s="230">
        <f>H75/SUM($H$66:$H$79)</f>
        <v>0.000188040616773223</v>
      </c>
      <c r="K75" s="230">
        <f>I75/SUM($I$66:$I$79)</f>
        <v>0.000224967361453991</v>
      </c>
      <c r="M75" s="283"/>
    </row>
    <row r="76" s="28" customFormat="1" customHeight="1" spans="1:13">
      <c r="A76" s="174"/>
      <c r="B76" s="175"/>
      <c r="C76" s="223" t="s">
        <v>165</v>
      </c>
      <c r="D76" s="171"/>
      <c r="E76" s="191"/>
      <c r="F76" s="171">
        <v>9</v>
      </c>
      <c r="G76" s="191">
        <v>1320.43</v>
      </c>
      <c r="H76" s="172">
        <f t="shared" si="0"/>
        <v>9</v>
      </c>
      <c r="I76" s="172">
        <f t="shared" si="8"/>
        <v>1320.43</v>
      </c>
      <c r="J76" s="230">
        <f>H76/SUM($H$66:$H$79)</f>
        <v>0.000338473110191801</v>
      </c>
      <c r="K76" s="230">
        <f>I76/SUM($I$66:$I$79)</f>
        <v>0.00742634132711734</v>
      </c>
      <c r="M76" s="283"/>
    </row>
    <row r="77" s="28" customFormat="1" customHeight="1" spans="1:13">
      <c r="A77" s="174"/>
      <c r="B77" s="175"/>
      <c r="C77" s="223" t="s">
        <v>142</v>
      </c>
      <c r="D77" s="171"/>
      <c r="E77" s="191"/>
      <c r="F77" s="171"/>
      <c r="G77" s="191"/>
      <c r="H77" s="172">
        <f t="shared" si="0"/>
        <v>0</v>
      </c>
      <c r="I77" s="172">
        <f t="shared" si="8"/>
        <v>0</v>
      </c>
      <c r="J77" s="230">
        <f>H77/SUM($H$66:$H$79)</f>
        <v>0</v>
      </c>
      <c r="K77" s="230">
        <f>I77/SUM($I$66:$I$79)</f>
        <v>0</v>
      </c>
      <c r="M77" s="283"/>
    </row>
    <row r="78" s="28" customFormat="1" customHeight="1" spans="1:13">
      <c r="A78" s="174"/>
      <c r="B78" s="175"/>
      <c r="C78" s="223" t="s">
        <v>158</v>
      </c>
      <c r="D78" s="171"/>
      <c r="E78" s="191"/>
      <c r="F78" s="171"/>
      <c r="G78" s="191"/>
      <c r="H78" s="172">
        <f t="shared" si="0"/>
        <v>0</v>
      </c>
      <c r="I78" s="172">
        <f t="shared" si="8"/>
        <v>0</v>
      </c>
      <c r="J78" s="230">
        <f>H78/SUM($H$66:$H$79)</f>
        <v>0</v>
      </c>
      <c r="K78" s="230">
        <f>I78/SUM($I$66:$I$79)</f>
        <v>0</v>
      </c>
    </row>
    <row r="79" s="28" customFormat="1" customHeight="1" spans="1:13">
      <c r="A79" s="174"/>
      <c r="B79" s="175"/>
      <c r="C79" s="231" t="s">
        <v>137</v>
      </c>
      <c r="D79" s="171"/>
      <c r="E79" s="191"/>
      <c r="F79" s="171"/>
      <c r="G79" s="171"/>
      <c r="H79" s="172">
        <f t="shared" si="0"/>
        <v>0</v>
      </c>
      <c r="I79" s="172">
        <f t="shared" si="8"/>
        <v>0</v>
      </c>
      <c r="J79" s="230">
        <f>H79/SUM($H$66:$H$79)</f>
        <v>0</v>
      </c>
      <c r="K79" s="230">
        <f>I79/SUM($I$66:$I$79)</f>
        <v>0</v>
      </c>
    </row>
    <row r="80" s="28" customFormat="1" customHeight="1" spans="1:13">
      <c r="A80" s="174"/>
      <c r="B80" s="232" t="s">
        <v>36</v>
      </c>
      <c r="C80" s="231" t="s">
        <v>121</v>
      </c>
      <c r="D80" s="171">
        <f>8851</f>
        <v>8851</v>
      </c>
      <c r="E80" s="191">
        <f>47589.43</f>
        <v>47589.43</v>
      </c>
      <c r="F80" s="171">
        <v>8345</v>
      </c>
      <c r="G80" s="191">
        <v>44748.1</v>
      </c>
      <c r="H80" s="172">
        <f t="shared" ref="H80:H143" si="11">D80+F80</f>
        <v>17196</v>
      </c>
      <c r="I80" s="172">
        <f>E80+G80</f>
        <v>92337.53</v>
      </c>
      <c r="J80" s="218">
        <f>H80/SUM($H$80:$H$91)</f>
        <v>0.281435655717582</v>
      </c>
      <c r="K80" s="218">
        <f>I80/SUM($I$80:$I$91)</f>
        <v>0.257375299878536</v>
      </c>
    </row>
    <row r="81" s="28" customFormat="1" customHeight="1" spans="1:11">
      <c r="A81" s="174"/>
      <c r="B81" s="233"/>
      <c r="C81" s="231" t="s">
        <v>122</v>
      </c>
      <c r="D81" s="171">
        <f>4066+846</f>
        <v>4912</v>
      </c>
      <c r="E81" s="191">
        <f>28725.04+6737.93</f>
        <v>35462.97</v>
      </c>
      <c r="F81" s="171">
        <f>647+3370</f>
        <v>4017</v>
      </c>
      <c r="G81" s="191">
        <f>8224.05+19795.9</f>
        <v>28019.95</v>
      </c>
      <c r="H81" s="172">
        <f t="shared" si="11"/>
        <v>8929</v>
      </c>
      <c r="I81" s="172">
        <f t="shared" ref="I80:I111" si="12">E81+G81</f>
        <v>63482.92</v>
      </c>
      <c r="J81" s="218">
        <f>H81/SUM($H$80:$H$91)</f>
        <v>0.146135087805437</v>
      </c>
      <c r="K81" s="218">
        <f>I81/SUM($I$80:$I$91)</f>
        <v>0.176947938418595</v>
      </c>
    </row>
    <row r="82" s="28" customFormat="1" customHeight="1" spans="1:11">
      <c r="A82" s="174"/>
      <c r="B82" s="233"/>
      <c r="C82" s="231" t="s">
        <v>166</v>
      </c>
      <c r="D82" s="171">
        <f>4615</f>
        <v>4615</v>
      </c>
      <c r="E82" s="191">
        <f>12630.35</f>
        <v>12630.35</v>
      </c>
      <c r="F82" s="171">
        <v>5051</v>
      </c>
      <c r="G82" s="191">
        <v>13853.5</v>
      </c>
      <c r="H82" s="172">
        <f t="shared" si="11"/>
        <v>9666</v>
      </c>
      <c r="I82" s="172">
        <f t="shared" si="12"/>
        <v>26483.85</v>
      </c>
      <c r="J82" s="218">
        <f>H82/SUM($H$80:$H$91)</f>
        <v>0.158197083517455</v>
      </c>
      <c r="K82" s="218">
        <f>I82/SUM($I$80:$I$91)</f>
        <v>0.0738192675902006</v>
      </c>
    </row>
    <row r="83" s="28" customFormat="1" customHeight="1" spans="1:11">
      <c r="A83" s="174"/>
      <c r="B83" s="233"/>
      <c r="C83" s="231" t="s">
        <v>120</v>
      </c>
      <c r="D83" s="171">
        <f>7088</f>
        <v>7088</v>
      </c>
      <c r="E83" s="191">
        <f>22097.36</f>
        <v>22097.36</v>
      </c>
      <c r="F83" s="171">
        <v>7862</v>
      </c>
      <c r="G83" s="191">
        <v>29014.74</v>
      </c>
      <c r="H83" s="172">
        <f t="shared" si="11"/>
        <v>14950</v>
      </c>
      <c r="I83" s="172">
        <f t="shared" si="12"/>
        <v>51112.1</v>
      </c>
      <c r="J83" s="218">
        <f>H83/SUM($H$80:$H$91)</f>
        <v>0.24467684653279</v>
      </c>
      <c r="K83" s="218">
        <f>I83/SUM($I$80:$I$91)</f>
        <v>0.142466362972041</v>
      </c>
    </row>
    <row r="84" s="28" customFormat="1" customHeight="1" spans="1:11">
      <c r="A84" s="174"/>
      <c r="B84" s="233"/>
      <c r="C84" s="231" t="s">
        <v>126</v>
      </c>
      <c r="D84" s="171">
        <f>763</f>
        <v>763</v>
      </c>
      <c r="E84" s="191">
        <f>8512.22</f>
        <v>8512.22</v>
      </c>
      <c r="F84" s="171">
        <v>961</v>
      </c>
      <c r="G84" s="191">
        <v>11063.84</v>
      </c>
      <c r="H84" s="172">
        <f t="shared" si="11"/>
        <v>1724</v>
      </c>
      <c r="I84" s="172">
        <f t="shared" si="12"/>
        <v>19576.06</v>
      </c>
      <c r="J84" s="218">
        <f>H84/SUM($H$80:$H$91)</f>
        <v>0.0282155774864568</v>
      </c>
      <c r="K84" s="218">
        <f>I84/SUM($I$80:$I$91)</f>
        <v>0.054564967385853</v>
      </c>
    </row>
    <row r="85" s="28" customFormat="1" customHeight="1" spans="1:11">
      <c r="A85" s="174"/>
      <c r="B85" s="233"/>
      <c r="C85" s="231" t="s">
        <v>167</v>
      </c>
      <c r="D85" s="171">
        <f>2071</f>
        <v>2071</v>
      </c>
      <c r="E85" s="191">
        <f>32481.98</f>
        <v>32481.98</v>
      </c>
      <c r="F85" s="171">
        <v>1799</v>
      </c>
      <c r="G85" s="191">
        <v>28468.06</v>
      </c>
      <c r="H85" s="172">
        <f t="shared" si="11"/>
        <v>3870</v>
      </c>
      <c r="I85" s="172">
        <f t="shared" si="12"/>
        <v>60950.04</v>
      </c>
      <c r="J85" s="218">
        <f>H85/SUM($H$80:$H$91)</f>
        <v>0.0633377522462807</v>
      </c>
      <c r="K85" s="218">
        <f>I85/SUM($I$80:$I$91)</f>
        <v>0.169887962376823</v>
      </c>
    </row>
    <row r="86" s="28" customFormat="1" customHeight="1" spans="1:11">
      <c r="A86" s="174"/>
      <c r="B86" s="233"/>
      <c r="C86" s="231" t="s">
        <v>168</v>
      </c>
      <c r="D86" s="171"/>
      <c r="E86" s="191"/>
      <c r="F86" s="171"/>
      <c r="G86" s="191"/>
      <c r="H86" s="172">
        <f t="shared" si="11"/>
        <v>0</v>
      </c>
      <c r="I86" s="172">
        <f t="shared" si="12"/>
        <v>0</v>
      </c>
      <c r="J86" s="218">
        <f>H86/SUM($H$80:$H$91)</f>
        <v>0</v>
      </c>
      <c r="K86" s="218">
        <f>I86/SUM($I$80:$I$91)</f>
        <v>0</v>
      </c>
    </row>
    <row r="87" s="28" customFormat="1" customHeight="1" spans="1:11">
      <c r="A87" s="174"/>
      <c r="B87" s="233"/>
      <c r="C87" s="231" t="s">
        <v>133</v>
      </c>
      <c r="D87" s="171">
        <f>409</f>
        <v>409</v>
      </c>
      <c r="E87" s="191">
        <f>5875.72</f>
        <v>5875.72</v>
      </c>
      <c r="F87" s="171">
        <v>349</v>
      </c>
      <c r="G87" s="191">
        <v>4944.18</v>
      </c>
      <c r="H87" s="172">
        <f t="shared" si="11"/>
        <v>758</v>
      </c>
      <c r="I87" s="172">
        <f t="shared" si="12"/>
        <v>10819.9</v>
      </c>
      <c r="J87" s="218">
        <f>H87/SUM($H$80:$H$91)</f>
        <v>0.0124056889412612</v>
      </c>
      <c r="K87" s="218">
        <f>I87/SUM($I$80:$I$91)</f>
        <v>0.0301586473794109</v>
      </c>
    </row>
    <row r="88" s="28" customFormat="1" customHeight="1" spans="1:11">
      <c r="A88" s="174"/>
      <c r="B88" s="233"/>
      <c r="C88" s="231" t="s">
        <v>129</v>
      </c>
      <c r="D88" s="171">
        <f>274</f>
        <v>274</v>
      </c>
      <c r="E88" s="191">
        <f>597.86</f>
        <v>597.86</v>
      </c>
      <c r="F88" s="171">
        <v>269</v>
      </c>
      <c r="G88" s="191">
        <v>506.13</v>
      </c>
      <c r="H88" s="172">
        <f t="shared" si="11"/>
        <v>543</v>
      </c>
      <c r="I88" s="172">
        <f t="shared" si="12"/>
        <v>1103.99</v>
      </c>
      <c r="J88" s="218">
        <f>H88/SUM($H$80:$H$91)</f>
        <v>0.00888692492757893</v>
      </c>
      <c r="K88" s="218">
        <f>I88/SUM($I$80:$I$91)</f>
        <v>0.00307718602948233</v>
      </c>
    </row>
    <row r="89" s="28" customFormat="1" customHeight="1" spans="1:11">
      <c r="A89" s="174"/>
      <c r="B89" s="233"/>
      <c r="C89" s="231" t="s">
        <v>151</v>
      </c>
      <c r="D89" s="171">
        <f>1235</f>
        <v>1235</v>
      </c>
      <c r="E89" s="191">
        <f>11769.96</f>
        <v>11769.96</v>
      </c>
      <c r="F89" s="171">
        <v>1197</v>
      </c>
      <c r="G89" s="191">
        <v>10669.7</v>
      </c>
      <c r="H89" s="172">
        <f t="shared" si="11"/>
        <v>2432</v>
      </c>
      <c r="I89" s="172">
        <f t="shared" si="12"/>
        <v>22439.66</v>
      </c>
      <c r="J89" s="218">
        <f>H89/SUM($H$80:$H$91)</f>
        <v>0.0398029492152338</v>
      </c>
      <c r="K89" s="218">
        <f>I89/SUM($I$80:$I$91)</f>
        <v>0.0625467696793752</v>
      </c>
    </row>
    <row r="90" s="28" customFormat="1" customHeight="1" spans="1:11">
      <c r="A90" s="174"/>
      <c r="B90" s="233"/>
      <c r="C90" s="231" t="s">
        <v>169</v>
      </c>
      <c r="D90" s="284">
        <f>608</f>
        <v>608</v>
      </c>
      <c r="E90" s="191">
        <f>5820.06</f>
        <v>5820.06</v>
      </c>
      <c r="F90" s="171">
        <v>310</v>
      </c>
      <c r="G90" s="191">
        <v>3849.26</v>
      </c>
      <c r="H90" s="172">
        <f t="shared" si="11"/>
        <v>918</v>
      </c>
      <c r="I90" s="172">
        <f t="shared" si="12"/>
        <v>9669.32</v>
      </c>
      <c r="J90" s="218">
        <f>H90/SUM($H$80:$H$91)</f>
        <v>0.0150243040212108</v>
      </c>
      <c r="K90" s="218">
        <f>I90/SUM($I$80:$I$91)</f>
        <v>0.0269515995784328</v>
      </c>
    </row>
    <row r="91" s="28" customFormat="1" customHeight="1" spans="1:11">
      <c r="A91" s="174"/>
      <c r="B91" s="233"/>
      <c r="C91" s="235" t="s">
        <v>128</v>
      </c>
      <c r="D91" s="284">
        <f>88</f>
        <v>88</v>
      </c>
      <c r="E91" s="191">
        <f>421.72</f>
        <v>421.72</v>
      </c>
      <c r="F91" s="171">
        <v>27</v>
      </c>
      <c r="G91" s="191">
        <v>369</v>
      </c>
      <c r="H91" s="172">
        <f t="shared" si="11"/>
        <v>115</v>
      </c>
      <c r="I91" s="172">
        <f t="shared" si="12"/>
        <v>790.72</v>
      </c>
      <c r="J91" s="218">
        <f>H91/SUM($H$80:$H$91)</f>
        <v>0.00188212958871377</v>
      </c>
      <c r="K91" s="218">
        <f>I91/SUM($I$80:$I$91)</f>
        <v>0.00220399871124944</v>
      </c>
    </row>
    <row r="92" s="28" customFormat="1" customHeight="1" spans="1:11">
      <c r="A92" s="174"/>
      <c r="B92" s="233"/>
      <c r="C92" s="235" t="s">
        <v>170</v>
      </c>
      <c r="D92" s="284"/>
      <c r="E92" s="191"/>
      <c r="F92" s="171"/>
      <c r="G92" s="191"/>
      <c r="H92" s="172">
        <f t="shared" si="11"/>
        <v>0</v>
      </c>
      <c r="I92" s="172">
        <f t="shared" si="12"/>
        <v>0</v>
      </c>
      <c r="J92" s="218">
        <f>H92/SUM($H$80:$H$91)</f>
        <v>0</v>
      </c>
      <c r="K92" s="218">
        <f>I92/SUM($I$80:$I$91)</f>
        <v>0</v>
      </c>
    </row>
    <row r="93" s="28" customFormat="1" customHeight="1" spans="1:11">
      <c r="A93" s="174"/>
      <c r="B93" s="233"/>
      <c r="C93" s="235" t="s">
        <v>136</v>
      </c>
      <c r="D93" s="284"/>
      <c r="E93" s="171"/>
      <c r="F93" s="171"/>
      <c r="G93" s="191"/>
      <c r="H93" s="172">
        <f t="shared" si="11"/>
        <v>0</v>
      </c>
      <c r="I93" s="172">
        <f t="shared" si="12"/>
        <v>0</v>
      </c>
      <c r="J93" s="218">
        <f>H93/SUM($H$80:$H$91)</f>
        <v>0</v>
      </c>
      <c r="K93" s="218">
        <f>I93/SUM($I$80:$I$91)</f>
        <v>0</v>
      </c>
    </row>
    <row r="94" s="28" customFormat="1" customHeight="1" spans="1:11">
      <c r="A94" s="174"/>
      <c r="B94" s="233"/>
      <c r="C94" s="235" t="s">
        <v>171</v>
      </c>
      <c r="D94" s="284"/>
      <c r="E94" s="171"/>
      <c r="F94" s="171"/>
      <c r="G94" s="191"/>
      <c r="H94" s="172">
        <f t="shared" si="11"/>
        <v>0</v>
      </c>
      <c r="I94" s="172">
        <f t="shared" si="12"/>
        <v>0</v>
      </c>
      <c r="J94" s="218">
        <f>H94/SUM($H$80:$H$91)</f>
        <v>0</v>
      </c>
      <c r="K94" s="218">
        <f>I94/SUM($I$80:$I$91)</f>
        <v>0</v>
      </c>
    </row>
    <row r="95" s="28" customFormat="1" customHeight="1" spans="1:11">
      <c r="A95" s="174"/>
      <c r="B95" s="233"/>
      <c r="C95" s="235" t="s">
        <v>137</v>
      </c>
      <c r="D95" s="284"/>
      <c r="E95" s="234"/>
      <c r="F95" s="171"/>
      <c r="G95" s="191"/>
      <c r="H95" s="172">
        <f t="shared" si="11"/>
        <v>0</v>
      </c>
      <c r="I95" s="172">
        <f t="shared" si="12"/>
        <v>0</v>
      </c>
      <c r="J95" s="218">
        <f>H95/SUM($H$80:$H$91)</f>
        <v>0</v>
      </c>
      <c r="K95" s="218">
        <f>I95/SUM($I$80:$I$91)</f>
        <v>0</v>
      </c>
    </row>
    <row r="96" s="28" customFormat="1" customHeight="1" spans="1:11">
      <c r="A96" s="174" t="s">
        <v>172</v>
      </c>
      <c r="B96" s="169" t="s">
        <v>173</v>
      </c>
      <c r="C96" s="235" t="s">
        <v>121</v>
      </c>
      <c r="D96" s="284">
        <f>13073</f>
        <v>13073</v>
      </c>
      <c r="E96" s="234">
        <f>73376.55</f>
        <v>73376.55</v>
      </c>
      <c r="F96" s="171">
        <v>13099</v>
      </c>
      <c r="G96" s="191">
        <v>73535.31</v>
      </c>
      <c r="H96" s="172">
        <f t="shared" si="11"/>
        <v>26172</v>
      </c>
      <c r="I96" s="172">
        <f t="shared" si="12"/>
        <v>146911.86</v>
      </c>
      <c r="J96" s="209">
        <f>H96/SUM($H$96:$H$114)</f>
        <v>0.221797506757718</v>
      </c>
      <c r="K96" s="209">
        <f>I96/SUM($I$96:$I$114)</f>
        <v>0.178913764243382</v>
      </c>
    </row>
    <row r="97" s="28" customFormat="1" customHeight="1" spans="1:11">
      <c r="A97" s="174"/>
      <c r="B97" s="175"/>
      <c r="C97" s="235" t="s">
        <v>122</v>
      </c>
      <c r="D97" s="284">
        <f>7368</f>
        <v>7368</v>
      </c>
      <c r="E97" s="234">
        <f>55031.68</f>
        <v>55031.68</v>
      </c>
      <c r="F97" s="171">
        <f>178+7385</f>
        <v>7563</v>
      </c>
      <c r="G97" s="191">
        <f>2963.13+54313.29</f>
        <v>57276.42</v>
      </c>
      <c r="H97" s="172">
        <f t="shared" si="11"/>
        <v>14931</v>
      </c>
      <c r="I97" s="172">
        <f t="shared" si="12"/>
        <v>112308.1</v>
      </c>
      <c r="J97" s="209">
        <f>H97/SUM($H$96:$H$114)</f>
        <v>0.126534409804351</v>
      </c>
      <c r="K97" s="209">
        <f>I97/SUM($I$96:$I$114)</f>
        <v>0.136772245113649</v>
      </c>
    </row>
    <row r="98" s="28" customFormat="1" customHeight="1" spans="1:11">
      <c r="A98" s="174"/>
      <c r="B98" s="175"/>
      <c r="C98" s="235" t="s">
        <v>174</v>
      </c>
      <c r="D98" s="284">
        <f>301</f>
        <v>301</v>
      </c>
      <c r="E98" s="234">
        <f>2681.4</f>
        <v>2681.4</v>
      </c>
      <c r="F98" s="171">
        <v>278</v>
      </c>
      <c r="G98" s="191">
        <v>2486.17</v>
      </c>
      <c r="H98" s="172">
        <f t="shared" si="11"/>
        <v>579</v>
      </c>
      <c r="I98" s="172">
        <f t="shared" si="12"/>
        <v>5167.57</v>
      </c>
      <c r="J98" s="209">
        <f>H98/SUM($H$96:$H$114)</f>
        <v>0.00490679949613017</v>
      </c>
      <c r="K98" s="209">
        <f>I98/SUM($I$96:$I$114)</f>
        <v>0.00629322507176189</v>
      </c>
    </row>
    <row r="99" s="28" customFormat="1" customHeight="1" spans="1:11">
      <c r="A99" s="174"/>
      <c r="B99" s="175"/>
      <c r="C99" s="235" t="s">
        <v>133</v>
      </c>
      <c r="D99" s="284">
        <f>749</f>
        <v>749</v>
      </c>
      <c r="E99" s="234">
        <f>9450.72</f>
        <v>9450.72</v>
      </c>
      <c r="F99" s="171">
        <f>88+764</f>
        <v>852</v>
      </c>
      <c r="G99" s="191">
        <f>1576.08+9563.96</f>
        <v>11140.04</v>
      </c>
      <c r="H99" s="172">
        <f t="shared" si="11"/>
        <v>1601</v>
      </c>
      <c r="I99" s="172">
        <f t="shared" si="12"/>
        <v>20590.76</v>
      </c>
      <c r="J99" s="209">
        <f>H99/SUM($H$96:$H$114)</f>
        <v>0.0135678514564843</v>
      </c>
      <c r="K99" s="209">
        <f>I99/SUM($I$96:$I$114)</f>
        <v>0.0250760583946868</v>
      </c>
    </row>
    <row r="100" s="28" customFormat="1" customHeight="1" spans="1:11">
      <c r="A100" s="174"/>
      <c r="B100" s="175"/>
      <c r="C100" s="235" t="s">
        <v>125</v>
      </c>
      <c r="D100" s="284">
        <f>613</f>
        <v>613</v>
      </c>
      <c r="E100" s="234">
        <f>1830.54</f>
        <v>1830.54</v>
      </c>
      <c r="F100" s="171">
        <v>773</v>
      </c>
      <c r="G100" s="191">
        <v>2308.78</v>
      </c>
      <c r="H100" s="172">
        <f t="shared" si="11"/>
        <v>1386</v>
      </c>
      <c r="I100" s="172">
        <f t="shared" si="12"/>
        <v>4139.32</v>
      </c>
      <c r="J100" s="209">
        <f>H100/SUM($H$96:$H$114)</f>
        <v>0.011745810192809</v>
      </c>
      <c r="K100" s="209">
        <f>I100/SUM($I$96:$I$114)</f>
        <v>0.00504099071788973</v>
      </c>
    </row>
    <row r="101" s="28" customFormat="1" customHeight="1" spans="1:11">
      <c r="A101" s="174"/>
      <c r="B101" s="175"/>
      <c r="C101" s="235" t="s">
        <v>175</v>
      </c>
      <c r="D101" s="284">
        <f>220</f>
        <v>220</v>
      </c>
      <c r="E101" s="234">
        <f>3899.32</f>
        <v>3899.32</v>
      </c>
      <c r="F101" s="171">
        <v>146</v>
      </c>
      <c r="G101" s="191">
        <v>2333.87</v>
      </c>
      <c r="H101" s="172">
        <f t="shared" si="11"/>
        <v>366</v>
      </c>
      <c r="I101" s="172">
        <f t="shared" si="12"/>
        <v>6233.19</v>
      </c>
      <c r="J101" s="209">
        <f>H101/SUM($H$96:$H$114)</f>
        <v>0.00310170745351233</v>
      </c>
      <c r="K101" s="209">
        <f>I101/SUM($I$96:$I$114)</f>
        <v>0.00759096975658878</v>
      </c>
    </row>
    <row r="102" s="28" customFormat="1" customHeight="1" spans="1:11">
      <c r="A102" s="174"/>
      <c r="B102" s="175"/>
      <c r="C102" s="235" t="s">
        <v>120</v>
      </c>
      <c r="D102" s="234">
        <f>10702</f>
        <v>10702</v>
      </c>
      <c r="E102" s="234">
        <f>31841.41</f>
        <v>31841.41</v>
      </c>
      <c r="F102" s="171">
        <v>10536</v>
      </c>
      <c r="G102" s="191">
        <v>29826.17</v>
      </c>
      <c r="H102" s="172">
        <f t="shared" si="11"/>
        <v>21238</v>
      </c>
      <c r="I102" s="172">
        <f t="shared" si="12"/>
        <v>61667.58</v>
      </c>
      <c r="J102" s="209">
        <f>H102/SUM($H$96:$H$114)</f>
        <v>0.179983778409003</v>
      </c>
      <c r="K102" s="209">
        <f>I102/SUM($I$96:$I$114)</f>
        <v>0.0751006683162264</v>
      </c>
    </row>
    <row r="103" s="28" customFormat="1" customHeight="1" spans="1:11">
      <c r="A103" s="174"/>
      <c r="B103" s="175"/>
      <c r="C103" s="235" t="s">
        <v>129</v>
      </c>
      <c r="D103" s="234">
        <f>707</f>
        <v>707</v>
      </c>
      <c r="E103" s="234">
        <f>1084.88</f>
        <v>1084.88</v>
      </c>
      <c r="F103" s="171">
        <v>631</v>
      </c>
      <c r="G103" s="191">
        <v>820.89</v>
      </c>
      <c r="H103" s="172">
        <f t="shared" si="11"/>
        <v>1338</v>
      </c>
      <c r="I103" s="172">
        <f t="shared" si="12"/>
        <v>1905.77</v>
      </c>
      <c r="J103" s="209">
        <f>H103/SUM($H$96:$H$114)</f>
        <v>0.0113390288874303</v>
      </c>
      <c r="K103" s="209">
        <f>I103/SUM($I$96:$I$114)</f>
        <v>0.00232090509562747</v>
      </c>
    </row>
    <row r="104" s="28" customFormat="1" customHeight="1" spans="1:11">
      <c r="A104" s="174"/>
      <c r="B104" s="175"/>
      <c r="C104" s="235" t="s">
        <v>128</v>
      </c>
      <c r="D104" s="234">
        <f>62</f>
        <v>62</v>
      </c>
      <c r="E104" s="234">
        <f>355</f>
        <v>355</v>
      </c>
      <c r="F104" s="171">
        <v>101</v>
      </c>
      <c r="G104" s="191">
        <v>790</v>
      </c>
      <c r="H104" s="172">
        <f t="shared" si="11"/>
        <v>163</v>
      </c>
      <c r="I104" s="172">
        <f t="shared" si="12"/>
        <v>1145</v>
      </c>
      <c r="J104" s="209">
        <f>H104/SUM($H$96:$H$114)</f>
        <v>0.00138136151618172</v>
      </c>
      <c r="K104" s="209">
        <f>I104/SUM($I$96:$I$114)</f>
        <v>0.00139441608089825</v>
      </c>
    </row>
    <row r="105" s="28" customFormat="1" customHeight="1" spans="1:11">
      <c r="A105" s="174"/>
      <c r="B105" s="175"/>
      <c r="C105" s="235" t="s">
        <v>141</v>
      </c>
      <c r="D105" s="234">
        <f>2086</f>
        <v>2086</v>
      </c>
      <c r="E105" s="234">
        <f>18204.53</f>
        <v>18204.53</v>
      </c>
      <c r="F105" s="171">
        <v>2112</v>
      </c>
      <c r="G105" s="191">
        <v>17913.06</v>
      </c>
      <c r="H105" s="172">
        <f t="shared" si="11"/>
        <v>4198</v>
      </c>
      <c r="I105" s="172">
        <f t="shared" si="12"/>
        <v>36117.59</v>
      </c>
      <c r="J105" s="209">
        <f>H105/SUM($H$96:$H$114)</f>
        <v>0.0355764149995759</v>
      </c>
      <c r="K105" s="209">
        <f>I105/SUM($I$96:$I$114)</f>
        <v>0.0439851076849692</v>
      </c>
    </row>
    <row r="106" s="28" customFormat="1" customHeight="1" spans="1:11">
      <c r="A106" s="174"/>
      <c r="B106" s="175"/>
      <c r="C106" s="235" t="s">
        <v>130</v>
      </c>
      <c r="D106" s="234">
        <f>2429+143</f>
        <v>2572</v>
      </c>
      <c r="E106" s="234">
        <f>37273.72+2375.49</f>
        <v>39649.21</v>
      </c>
      <c r="F106" s="171">
        <v>2485</v>
      </c>
      <c r="G106" s="191">
        <v>38062.72</v>
      </c>
      <c r="H106" s="172">
        <f t="shared" si="11"/>
        <v>5057</v>
      </c>
      <c r="I106" s="172">
        <f t="shared" si="12"/>
        <v>77711.93</v>
      </c>
      <c r="J106" s="209">
        <f>H106/SUM($H$96:$H$114)</f>
        <v>0.0428561054437483</v>
      </c>
      <c r="K106" s="209">
        <f>I106/SUM($I$96:$I$114)</f>
        <v>0.094639969318462</v>
      </c>
    </row>
    <row r="107" s="28" customFormat="1" customHeight="1" spans="1:11">
      <c r="A107" s="174"/>
      <c r="B107" s="175"/>
      <c r="C107" s="235" t="s">
        <v>146</v>
      </c>
      <c r="D107" s="234">
        <f>8524</f>
        <v>8524</v>
      </c>
      <c r="E107" s="234">
        <f>24735.95</f>
        <v>24735.95</v>
      </c>
      <c r="F107" s="171">
        <v>8608</v>
      </c>
      <c r="G107" s="191">
        <v>25001.4</v>
      </c>
      <c r="H107" s="172">
        <f t="shared" si="11"/>
        <v>17132</v>
      </c>
      <c r="I107" s="172">
        <f t="shared" si="12"/>
        <v>49737.35</v>
      </c>
      <c r="J107" s="209">
        <f>H107/SUM($H$96:$H$114)</f>
        <v>0.145187027578069</v>
      </c>
      <c r="K107" s="209">
        <f>I107/SUM($I$96:$I$114)</f>
        <v>0.0605716686997943</v>
      </c>
    </row>
    <row r="108" s="28" customFormat="1" customHeight="1" spans="1:11">
      <c r="A108" s="174"/>
      <c r="B108" s="175"/>
      <c r="C108" s="235" t="s">
        <v>176</v>
      </c>
      <c r="D108" s="234">
        <v>10268.263</v>
      </c>
      <c r="E108" s="234">
        <v>130531.83</v>
      </c>
      <c r="F108" s="191">
        <v>10107.26</v>
      </c>
      <c r="G108" s="191">
        <v>132589.59</v>
      </c>
      <c r="H108" s="172">
        <f t="shared" si="11"/>
        <v>20375.523</v>
      </c>
      <c r="I108" s="172">
        <f t="shared" si="12"/>
        <v>263121.42</v>
      </c>
      <c r="J108" s="209">
        <f>H108/SUM($H$96:$H$114)</f>
        <v>0.172674621744022</v>
      </c>
      <c r="K108" s="209">
        <f>I108/SUM($I$96:$I$114)</f>
        <v>0.320437326879286</v>
      </c>
    </row>
    <row r="109" s="28" customFormat="1" customHeight="1" spans="1:11">
      <c r="A109" s="174"/>
      <c r="B109" s="175"/>
      <c r="C109" s="235" t="s">
        <v>126</v>
      </c>
      <c r="D109" s="234">
        <f>1491</f>
        <v>1491</v>
      </c>
      <c r="E109" s="234">
        <f>14425.37</f>
        <v>14425.37</v>
      </c>
      <c r="F109" s="171">
        <v>1972</v>
      </c>
      <c r="G109" s="191">
        <v>19949.43</v>
      </c>
      <c r="H109" s="172">
        <f t="shared" si="11"/>
        <v>3463</v>
      </c>
      <c r="I109" s="172">
        <f t="shared" si="12"/>
        <v>34374.8</v>
      </c>
      <c r="J109" s="209">
        <f>H109/SUM($H$96:$H$114)</f>
        <v>0.0293475762609651</v>
      </c>
      <c r="K109" s="209">
        <f>I109/SUM($I$96:$I$114)</f>
        <v>0.0418626846267783</v>
      </c>
    </row>
    <row r="110" s="28" customFormat="1" customHeight="1" spans="1:11">
      <c r="A110" s="174"/>
      <c r="B110" s="175"/>
      <c r="C110" s="235" t="s">
        <v>168</v>
      </c>
      <c r="D110" s="234"/>
      <c r="E110" s="234"/>
      <c r="F110" s="171"/>
      <c r="G110" s="191"/>
      <c r="H110" s="172">
        <f t="shared" si="11"/>
        <v>0</v>
      </c>
      <c r="I110" s="172">
        <f t="shared" si="12"/>
        <v>0</v>
      </c>
      <c r="J110" s="209">
        <f>H110/SUM($H$96:$H$114)</f>
        <v>0</v>
      </c>
      <c r="K110" s="209">
        <f>I110/SUM($I$96:$I$114)</f>
        <v>0</v>
      </c>
    </row>
    <row r="111" s="28" customFormat="1" customHeight="1" spans="1:11">
      <c r="A111" s="174"/>
      <c r="B111" s="175"/>
      <c r="C111" s="235" t="s">
        <v>177</v>
      </c>
      <c r="D111" s="234"/>
      <c r="E111" s="234"/>
      <c r="F111" s="171"/>
      <c r="G111" s="191"/>
      <c r="H111" s="172">
        <f t="shared" si="11"/>
        <v>0</v>
      </c>
      <c r="I111" s="172">
        <f t="shared" si="12"/>
        <v>0</v>
      </c>
      <c r="J111" s="209">
        <f>H111/SUM($H$96:$H$114)</f>
        <v>0</v>
      </c>
      <c r="K111" s="209">
        <f>I111/SUM($I$96:$I$114)</f>
        <v>0</v>
      </c>
    </row>
    <row r="112" s="28" customFormat="1" customHeight="1" spans="1:11">
      <c r="A112" s="174"/>
      <c r="B112" s="175"/>
      <c r="C112" s="235" t="s">
        <v>178</v>
      </c>
      <c r="D112" s="234"/>
      <c r="E112" s="234"/>
      <c r="F112" s="171"/>
      <c r="G112" s="191"/>
      <c r="H112" s="172">
        <f t="shared" si="11"/>
        <v>0</v>
      </c>
      <c r="I112" s="172">
        <f>E112+G112</f>
        <v>0</v>
      </c>
      <c r="J112" s="209">
        <f>H112/SUM($H$96:$H$114)</f>
        <v>0</v>
      </c>
      <c r="K112" s="209">
        <f>I112/SUM($I$96:$I$114)</f>
        <v>0</v>
      </c>
    </row>
    <row r="113" s="28" customFormat="1" customHeight="1" spans="1:11">
      <c r="A113" s="174"/>
      <c r="B113" s="175"/>
      <c r="C113" s="235" t="s">
        <v>179</v>
      </c>
      <c r="D113" s="234"/>
      <c r="E113" s="234"/>
      <c r="F113" s="171"/>
      <c r="G113" s="171"/>
      <c r="H113" s="172">
        <f t="shared" si="11"/>
        <v>0</v>
      </c>
      <c r="I113" s="172">
        <f>E113+G113</f>
        <v>0</v>
      </c>
      <c r="J113" s="209">
        <f>H113/SUM($H$96:$H$114)</f>
        <v>0</v>
      </c>
      <c r="K113" s="209">
        <f>I113/SUM($I$96:$I$114)</f>
        <v>0</v>
      </c>
    </row>
    <row r="114" s="28" customFormat="1" customHeight="1" spans="1:11">
      <c r="A114" s="285"/>
      <c r="B114" s="175"/>
      <c r="C114" s="235" t="s">
        <v>137</v>
      </c>
      <c r="D114" s="171"/>
      <c r="E114" s="171"/>
      <c r="F114" s="171"/>
      <c r="G114" s="171"/>
      <c r="H114" s="172">
        <f t="shared" si="11"/>
        <v>0</v>
      </c>
      <c r="I114" s="172">
        <f>E114+G114</f>
        <v>0</v>
      </c>
      <c r="J114" s="209">
        <f>H114/SUM($H$96:$H$114)</f>
        <v>0</v>
      </c>
      <c r="K114" s="209">
        <f>I114/SUM($I$96:$I$114)</f>
        <v>0</v>
      </c>
    </row>
    <row r="115" s="154" customFormat="1" ht="22.5" customHeight="1" spans="1:11">
      <c r="A115" s="237" t="s">
        <v>14</v>
      </c>
      <c r="B115" s="238"/>
      <c r="C115" s="239"/>
      <c r="D115" s="240">
        <f>SUM(D4:D114)</f>
        <v>213100.263</v>
      </c>
      <c r="E115" s="240">
        <f>SUM(E4:E114)</f>
        <v>1277655.96</v>
      </c>
      <c r="F115" s="240">
        <f t="shared" ref="D115:I115" si="13">SUM(F4:F114)</f>
        <v>199187.26</v>
      </c>
      <c r="G115" s="240">
        <f t="shared" si="13"/>
        <v>1191034.76</v>
      </c>
      <c r="H115" s="240">
        <f t="shared" si="13"/>
        <v>392626.523</v>
      </c>
      <c r="I115" s="172">
        <f>E115+G115</f>
        <v>2468690.72</v>
      </c>
      <c r="J115" s="286"/>
      <c r="K115" s="286"/>
    </row>
  </sheetData>
  <mergeCells count="20">
    <mergeCell ref="A1:K1"/>
    <mergeCell ref="D2:E2"/>
    <mergeCell ref="F2:G2"/>
    <mergeCell ref="H2:I2"/>
    <mergeCell ref="A2:A3"/>
    <mergeCell ref="A4:A64"/>
    <mergeCell ref="A66:A94"/>
    <mergeCell ref="A96:A113"/>
    <mergeCell ref="B2:B3"/>
    <mergeCell ref="B4:B14"/>
    <mergeCell ref="B15:B27"/>
    <mergeCell ref="B28:B40"/>
    <mergeCell ref="B41:B52"/>
    <mergeCell ref="B53:B65"/>
    <mergeCell ref="B66:B79"/>
    <mergeCell ref="B80:B95"/>
    <mergeCell ref="B96:B114"/>
    <mergeCell ref="C2:C3"/>
    <mergeCell ref="J2:J3"/>
    <mergeCell ref="K2:K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4"/>
  <sheetViews>
    <sheetView workbookViewId="0">
      <pane xSplit="2" ySplit="3" topLeftCell="C33" activePane="bottomRight" state="frozen"/>
      <selection/>
      <selection pane="topRight"/>
      <selection pane="bottomLeft"/>
      <selection pane="bottomRight" activeCell="N111" sqref="N111"/>
    </sheetView>
  </sheetViews>
  <sheetFormatPr defaultColWidth="9.69230769230769" defaultRowHeight="15" customHeight="1"/>
  <cols>
    <col min="1" max="1" width="7.26923076923077" style="29" customWidth="1"/>
    <col min="2" max="2" width="14.6730769230769" style="155" customWidth="1"/>
    <col min="3" max="3" width="17.1442307692308" style="156" customWidth="1"/>
    <col min="4" max="4" width="9.96153846153846" style="156" customWidth="1"/>
    <col min="5" max="5" width="13.3461538461538" style="156" customWidth="1"/>
    <col min="6" max="6" width="9.96153846153846" style="156" customWidth="1"/>
    <col min="7" max="7" width="9.97115384615385" style="156" customWidth="1"/>
    <col min="8" max="8" width="9.96153846153846" style="156" customWidth="1"/>
    <col min="9" max="9" width="9.82692307692308" style="156" customWidth="1"/>
    <col min="10" max="11" width="15.3846153846154" style="157" customWidth="1"/>
    <col min="12" max="12" width="18.7692307692308" style="157"/>
    <col min="13" max="13" width="9.69230769230769" style="28"/>
    <col min="14" max="14" width="11.1730769230769" style="28"/>
    <col min="15" max="15" width="9.69230769230769" style="28"/>
    <col min="16" max="16" width="9.82692307692308" style="28"/>
    <col min="17" max="17" width="11.1730769230769" style="28"/>
    <col min="18" max="18" width="9.82692307692308" style="28"/>
    <col min="19" max="19" width="11.1730769230769" style="28"/>
    <col min="20" max="20" width="9.82692307692308" style="28"/>
    <col min="21" max="21" width="9.69230769230769" style="28"/>
    <col min="22" max="22" width="9.82692307692308" style="28"/>
    <col min="23" max="23" width="9.69230769230769" style="28"/>
    <col min="24" max="24" width="9.82692307692308" style="28"/>
    <col min="25" max="25" width="9.69230769230769" style="28"/>
    <col min="26" max="26" width="9.82692307692308" style="28"/>
    <col min="27" max="27" width="9.69230769230769" style="28"/>
    <col min="28" max="28" width="9.82692307692308" style="28"/>
    <col min="29" max="29" width="9.69230769230769" style="28"/>
    <col min="30" max="30" width="9.82692307692308" style="28"/>
    <col min="31" max="31" width="9.69230769230769" style="28"/>
    <col min="32" max="32" width="9.82692307692308" style="28"/>
    <col min="33" max="33" width="9.69230769230769" style="28"/>
    <col min="34" max="34" width="9.82692307692308" style="28"/>
    <col min="35" max="35" width="9.69230769230769" style="28"/>
    <col min="36" max="36" width="9.82692307692308" style="28"/>
    <col min="37" max="37" width="9.69230769230769" style="28"/>
    <col min="38" max="38" width="9.82692307692308" style="28"/>
    <col min="39" max="39" width="9.69230769230769" style="28"/>
    <col min="40" max="40" width="9.82692307692308" style="28"/>
    <col min="41" max="41" width="9.69230769230769" style="28"/>
    <col min="42" max="42" width="9.82692307692308" style="28"/>
    <col min="43" max="43" width="9.69230769230769" style="28"/>
    <col min="44" max="44" width="9.82692307692308" style="28"/>
    <col min="45" max="45" width="9.69230769230769" style="28"/>
    <col min="46" max="46" width="9.82692307692308" style="28"/>
    <col min="47" max="47" width="9.69230769230769" style="28"/>
    <col min="48" max="48" width="9.82692307692308" style="28"/>
    <col min="49" max="49" width="9.69230769230769" style="28"/>
    <col min="50" max="50" width="9.82692307692308" style="28"/>
    <col min="51" max="51" width="9.69230769230769" style="28"/>
    <col min="52" max="52" width="9.82692307692308" style="28"/>
    <col min="53" max="53" width="9.69230769230769" style="28"/>
    <col min="54" max="54" width="9.82692307692308" style="28"/>
    <col min="55" max="55" width="9.69230769230769" style="28"/>
    <col min="56" max="56" width="9.82692307692308" style="28"/>
    <col min="57" max="57" width="9.69230769230769" style="28"/>
    <col min="58" max="58" width="9.82692307692308" style="28"/>
    <col min="59" max="59" width="9.69230769230769" style="28"/>
    <col min="60" max="60" width="9.82692307692308" style="28"/>
    <col min="61" max="61" width="9.69230769230769" style="28"/>
    <col min="62" max="62" width="9.82692307692308" style="28"/>
    <col min="63" max="63" width="9.69230769230769" style="28"/>
    <col min="64" max="64" width="9.82692307692308" style="28"/>
    <col min="65" max="65" width="9.69230769230769" style="28"/>
    <col min="66" max="66" width="9.82692307692308" style="28"/>
    <col min="67" max="67" width="9.69230769230769" style="28"/>
    <col min="68" max="68" width="9.82692307692308" style="28"/>
    <col min="69" max="69" width="9.69230769230769" style="28"/>
    <col min="70" max="70" width="9.82692307692308" style="28"/>
    <col min="71" max="71" width="9.69230769230769" style="28"/>
    <col min="72" max="72" width="9.82692307692308" style="28"/>
    <col min="73" max="73" width="9.69230769230769" style="28"/>
    <col min="74" max="74" width="9.82692307692308" style="28"/>
    <col min="75" max="75" width="9.69230769230769" style="28"/>
    <col min="76" max="76" width="9.82692307692308" style="28"/>
    <col min="77" max="77" width="9.69230769230769" style="28"/>
    <col min="78" max="78" width="9.82692307692308" style="28"/>
    <col min="79" max="79" width="9.69230769230769" style="28"/>
    <col min="80" max="80" width="9.82692307692308" style="28"/>
    <col min="81" max="81" width="9.69230769230769" style="28"/>
    <col min="82" max="82" width="9.82692307692308" style="28"/>
    <col min="83" max="83" width="9.69230769230769" style="28"/>
    <col min="84" max="84" width="9.82692307692308" style="28"/>
    <col min="85" max="85" width="9.69230769230769" style="28"/>
    <col min="86" max="86" width="9.82692307692308" style="28"/>
    <col min="87" max="87" width="9.69230769230769" style="28"/>
    <col min="88" max="88" width="9.82692307692308" style="28"/>
    <col min="89" max="89" width="9.69230769230769" style="28"/>
    <col min="90" max="90" width="9.82692307692308" style="28"/>
    <col min="91" max="91" width="9.69230769230769" style="28"/>
    <col min="92" max="92" width="9.82692307692308" style="28"/>
    <col min="93" max="93" width="9.69230769230769" style="28"/>
    <col min="94" max="94" width="9.82692307692308" style="28"/>
    <col min="95" max="95" width="9.69230769230769" style="28"/>
    <col min="96" max="96" width="9.82692307692308" style="28"/>
    <col min="97" max="97" width="9.69230769230769" style="28"/>
    <col min="98" max="98" width="9.82692307692308" style="28"/>
    <col min="99" max="99" width="9.69230769230769" style="28"/>
    <col min="100" max="100" width="9.82692307692308" style="28"/>
    <col min="101" max="101" width="9.69230769230769" style="28"/>
    <col min="102" max="102" width="9.82692307692308" style="28"/>
    <col min="103" max="103" width="9.69230769230769" style="28"/>
    <col min="104" max="104" width="9.82692307692308" style="28"/>
    <col min="105" max="105" width="9.69230769230769" style="28"/>
    <col min="106" max="106" width="9.82692307692308" style="28"/>
    <col min="107" max="107" width="9.69230769230769" style="28"/>
    <col min="108" max="108" width="9.82692307692308" style="28"/>
    <col min="109" max="109" width="9.69230769230769" style="28"/>
    <col min="110" max="110" width="9.82692307692308" style="28"/>
    <col min="111" max="111" width="9.69230769230769" style="28"/>
    <col min="112" max="112" width="9.82692307692308" style="28"/>
    <col min="113" max="113" width="9.69230769230769" style="28"/>
    <col min="114" max="114" width="9.82692307692308" style="28"/>
    <col min="115" max="115" width="9.69230769230769" style="28"/>
    <col min="116" max="116" width="9.82692307692308" style="28"/>
    <col min="117" max="117" width="9.69230769230769" style="28"/>
    <col min="118" max="118" width="9.82692307692308" style="28"/>
    <col min="119" max="119" width="9.69230769230769" style="28"/>
    <col min="120" max="120" width="9.82692307692308" style="28"/>
    <col min="121" max="121" width="9.69230769230769" style="28"/>
    <col min="122" max="122" width="9.82692307692308" style="28"/>
    <col min="123" max="123" width="9.69230769230769" style="28"/>
    <col min="124" max="124" width="9.82692307692308" style="28"/>
    <col min="125" max="125" width="9.69230769230769" style="28"/>
    <col min="126" max="126" width="9.82692307692308" style="28"/>
    <col min="127" max="127" width="9.69230769230769" style="28"/>
    <col min="128" max="128" width="9.82692307692308" style="28"/>
    <col min="129" max="129" width="9.69230769230769" style="28"/>
    <col min="130" max="130" width="9.82692307692308" style="28"/>
    <col min="131" max="131" width="9.69230769230769" style="28"/>
    <col min="132" max="132" width="9.82692307692308" style="28"/>
    <col min="133" max="133" width="9.69230769230769" style="28"/>
    <col min="134" max="134" width="9.82692307692308" style="28"/>
    <col min="135" max="135" width="9.69230769230769" style="28"/>
    <col min="136" max="136" width="9.82692307692308" style="28"/>
    <col min="137" max="137" width="9.69230769230769" style="28"/>
    <col min="138" max="138" width="9.82692307692308" style="28"/>
    <col min="139" max="139" width="9.69230769230769" style="28"/>
    <col min="140" max="140" width="9.82692307692308" style="28"/>
    <col min="141" max="141" width="9.69230769230769" style="28"/>
    <col min="142" max="142" width="9.82692307692308" style="28"/>
    <col min="143" max="143" width="9.69230769230769" style="28"/>
    <col min="144" max="144" width="9.82692307692308" style="28"/>
    <col min="145" max="145" width="9.69230769230769" style="28"/>
    <col min="146" max="146" width="9.82692307692308" style="28"/>
    <col min="147" max="147" width="9.69230769230769" style="28"/>
    <col min="148" max="148" width="9.82692307692308" style="28"/>
    <col min="149" max="149" width="9.69230769230769" style="28"/>
    <col min="150" max="150" width="9.82692307692308" style="28"/>
    <col min="151" max="151" width="9.69230769230769" style="28"/>
    <col min="152" max="152" width="9.82692307692308" style="28"/>
    <col min="153" max="153" width="9.69230769230769" style="28"/>
    <col min="154" max="154" width="9.82692307692308" style="28"/>
    <col min="155" max="155" width="9.69230769230769" style="28"/>
    <col min="156" max="156" width="9.82692307692308" style="28"/>
    <col min="157" max="157" width="9.69230769230769" style="28"/>
    <col min="158" max="158" width="9.82692307692308" style="28"/>
    <col min="159" max="159" width="9.69230769230769" style="28"/>
    <col min="160" max="160" width="9.82692307692308" style="28"/>
    <col min="161" max="161" width="9.69230769230769" style="28"/>
    <col min="162" max="162" width="9.82692307692308" style="28"/>
    <col min="163" max="163" width="9.69230769230769" style="28"/>
    <col min="164" max="164" width="9.82692307692308" style="28"/>
    <col min="165" max="165" width="9.69230769230769" style="28"/>
    <col min="166" max="166" width="9.82692307692308" style="28"/>
    <col min="167" max="167" width="9.69230769230769" style="28"/>
    <col min="168" max="168" width="9.82692307692308" style="28"/>
    <col min="169" max="169" width="9.69230769230769" style="28"/>
    <col min="170" max="170" width="9.82692307692308" style="28"/>
    <col min="171" max="171" width="9.69230769230769" style="28"/>
    <col min="172" max="172" width="9.82692307692308" style="28"/>
    <col min="173" max="173" width="9.69230769230769" style="28"/>
    <col min="174" max="174" width="9.82692307692308" style="28"/>
    <col min="175" max="175" width="9.69230769230769" style="28"/>
    <col min="176" max="176" width="9.82692307692308" style="28"/>
    <col min="177" max="177" width="9.69230769230769" style="28"/>
    <col min="178" max="178" width="9.82692307692308" style="28"/>
    <col min="179" max="179" width="9.69230769230769" style="28"/>
    <col min="180" max="180" width="9.82692307692308" style="28"/>
    <col min="181" max="181" width="9.69230769230769" style="28"/>
    <col min="182" max="182" width="9.82692307692308" style="28"/>
    <col min="183" max="183" width="9.69230769230769" style="28"/>
    <col min="184" max="184" width="9.82692307692308" style="28"/>
    <col min="185" max="185" width="9.69230769230769" style="28"/>
    <col min="186" max="186" width="9.82692307692308" style="28"/>
    <col min="187" max="187" width="9.69230769230769" style="28"/>
    <col min="188" max="188" width="9.82692307692308" style="28"/>
    <col min="189" max="189" width="9.69230769230769" style="28"/>
    <col min="190" max="190" width="9.82692307692308" style="28"/>
    <col min="191" max="191" width="9.69230769230769" style="28"/>
    <col min="192" max="192" width="9.82692307692308" style="28"/>
    <col min="193" max="193" width="9.69230769230769" style="28"/>
    <col min="194" max="194" width="9.82692307692308" style="28"/>
    <col min="195" max="195" width="9.69230769230769" style="28"/>
    <col min="196" max="196" width="9.82692307692308" style="28"/>
    <col min="197" max="197" width="9.69230769230769" style="28"/>
    <col min="198" max="198" width="9.82692307692308" style="28"/>
    <col min="199" max="199" width="9.69230769230769" style="28"/>
    <col min="200" max="200" width="9.82692307692308" style="28"/>
    <col min="201" max="201" width="9.69230769230769" style="28"/>
    <col min="202" max="202" width="9.82692307692308" style="28"/>
    <col min="203" max="16384" width="9.69230769230769" style="28"/>
  </cols>
  <sheetData>
    <row r="1" s="28" customFormat="1" ht="37.5" customHeight="1" spans="1:12">
      <c r="A1" s="33" t="s">
        <v>185</v>
      </c>
      <c r="B1" s="33"/>
      <c r="C1" s="33"/>
      <c r="D1" s="33"/>
      <c r="E1" s="33"/>
      <c r="F1" s="33"/>
      <c r="G1" s="33"/>
      <c r="H1" s="33"/>
      <c r="I1" s="33"/>
      <c r="J1" s="157"/>
      <c r="K1" s="157"/>
      <c r="L1" s="157"/>
    </row>
    <row r="2" s="153" customFormat="1" ht="19.5" customHeight="1" spans="1:12">
      <c r="A2" s="158" t="s">
        <v>105</v>
      </c>
      <c r="B2" s="158" t="s">
        <v>106</v>
      </c>
      <c r="C2" s="158" t="s">
        <v>107</v>
      </c>
      <c r="D2" s="159" t="s">
        <v>12</v>
      </c>
      <c r="E2" s="160"/>
      <c r="F2" s="159" t="s">
        <v>13</v>
      </c>
      <c r="G2" s="160"/>
      <c r="H2" s="159" t="s">
        <v>14</v>
      </c>
      <c r="I2" s="160"/>
      <c r="J2" s="161" t="s">
        <v>182</v>
      </c>
      <c r="K2" s="162" t="s">
        <v>183</v>
      </c>
      <c r="L2" s="163"/>
    </row>
    <row r="3" s="153" customFormat="1" ht="24" customHeight="1" spans="1:12">
      <c r="A3" s="164"/>
      <c r="B3" s="164"/>
      <c r="C3" s="164"/>
      <c r="D3" s="165" t="s">
        <v>111</v>
      </c>
      <c r="E3" s="165" t="s">
        <v>112</v>
      </c>
      <c r="F3" s="165" t="s">
        <v>111</v>
      </c>
      <c r="G3" s="165" t="s">
        <v>112</v>
      </c>
      <c r="H3" s="165" t="s">
        <v>111</v>
      </c>
      <c r="I3" s="165" t="s">
        <v>112</v>
      </c>
      <c r="J3" s="166"/>
      <c r="K3" s="167"/>
      <c r="L3" s="163"/>
    </row>
    <row r="4" s="28" customFormat="1" hidden="1" customHeight="1" spans="1:12">
      <c r="A4" s="168" t="s">
        <v>119</v>
      </c>
      <c r="B4" s="169" t="s">
        <v>32</v>
      </c>
      <c r="C4" s="170" t="s">
        <v>120</v>
      </c>
      <c r="D4" s="171"/>
      <c r="E4" s="171"/>
      <c r="F4" s="171"/>
      <c r="G4" s="171"/>
      <c r="H4" s="172"/>
      <c r="I4" s="172"/>
      <c r="J4" s="173"/>
      <c r="K4" s="173"/>
      <c r="L4" s="157"/>
    </row>
    <row r="5" s="28" customFormat="1" hidden="1" customHeight="1" spans="1:12">
      <c r="A5" s="174"/>
      <c r="B5" s="175"/>
      <c r="C5" s="170" t="s">
        <v>186</v>
      </c>
      <c r="D5" s="171"/>
      <c r="E5" s="171"/>
      <c r="F5" s="171"/>
      <c r="G5" s="171"/>
      <c r="H5" s="172"/>
      <c r="I5" s="172"/>
      <c r="J5" s="173"/>
      <c r="K5" s="173"/>
      <c r="L5" s="157"/>
    </row>
    <row r="6" s="28" customFormat="1" hidden="1" customHeight="1" spans="1:12">
      <c r="A6" s="174"/>
      <c r="B6" s="175"/>
      <c r="C6" s="170" t="s">
        <v>123</v>
      </c>
      <c r="D6" s="171"/>
      <c r="E6" s="171"/>
      <c r="F6" s="171"/>
      <c r="G6" s="171"/>
      <c r="H6" s="172"/>
      <c r="I6" s="172"/>
      <c r="J6" s="173"/>
      <c r="K6" s="173"/>
      <c r="L6" s="157"/>
    </row>
    <row r="7" s="28" customFormat="1" hidden="1" customHeight="1" spans="1:12">
      <c r="A7" s="174"/>
      <c r="B7" s="175"/>
      <c r="C7" s="170" t="s">
        <v>124</v>
      </c>
      <c r="D7" s="171"/>
      <c r="E7" s="171"/>
      <c r="F7" s="171"/>
      <c r="G7" s="171"/>
      <c r="H7" s="172"/>
      <c r="I7" s="172"/>
      <c r="J7" s="176"/>
      <c r="K7" s="176"/>
      <c r="L7" s="157"/>
    </row>
    <row r="8" s="28" customFormat="1" hidden="1" customHeight="1" spans="1:12">
      <c r="A8" s="174"/>
      <c r="B8" s="175"/>
      <c r="C8" s="170" t="s">
        <v>125</v>
      </c>
      <c r="D8" s="171"/>
      <c r="E8" s="171"/>
      <c r="F8" s="171"/>
      <c r="G8" s="171"/>
      <c r="H8" s="172"/>
      <c r="I8" s="172"/>
      <c r="J8" s="173"/>
      <c r="K8" s="173"/>
      <c r="L8" s="157"/>
    </row>
    <row r="9" s="28" customFormat="1" hidden="1" customHeight="1" spans="1:12">
      <c r="A9" s="174"/>
      <c r="B9" s="175"/>
      <c r="C9" s="170" t="s">
        <v>126</v>
      </c>
      <c r="D9" s="171"/>
      <c r="E9" s="171"/>
      <c r="F9" s="171"/>
      <c r="G9" s="171"/>
      <c r="H9" s="172"/>
      <c r="I9" s="172"/>
      <c r="J9" s="176"/>
      <c r="K9" s="176"/>
      <c r="L9" s="157"/>
    </row>
    <row r="10" s="28" customFormat="1" hidden="1" customHeight="1" spans="1:12">
      <c r="A10" s="174"/>
      <c r="B10" s="175"/>
      <c r="C10" s="170" t="s">
        <v>127</v>
      </c>
      <c r="D10" s="171"/>
      <c r="E10" s="171"/>
      <c r="F10" s="171"/>
      <c r="G10" s="171"/>
      <c r="H10" s="172"/>
      <c r="I10" s="172"/>
      <c r="J10" s="176"/>
      <c r="K10" s="176"/>
      <c r="L10" s="157"/>
    </row>
    <row r="11" s="28" customFormat="1" hidden="1" customHeight="1" spans="1:12">
      <c r="A11" s="174"/>
      <c r="B11" s="175"/>
      <c r="C11" s="170" t="s">
        <v>128</v>
      </c>
      <c r="D11" s="171"/>
      <c r="E11" s="171"/>
      <c r="F11" s="171"/>
      <c r="G11" s="171"/>
      <c r="H11" s="172"/>
      <c r="I11" s="172"/>
      <c r="J11" s="173"/>
      <c r="K11" s="173"/>
      <c r="L11" s="157"/>
    </row>
    <row r="12" s="28" customFormat="1" hidden="1" customHeight="1" spans="1:12">
      <c r="A12" s="174"/>
      <c r="B12" s="175"/>
      <c r="C12" s="170" t="s">
        <v>129</v>
      </c>
      <c r="D12" s="171"/>
      <c r="E12" s="171"/>
      <c r="F12" s="171"/>
      <c r="G12" s="171"/>
      <c r="H12" s="172"/>
      <c r="I12" s="172"/>
      <c r="J12" s="176"/>
      <c r="K12" s="176"/>
      <c r="L12" s="157"/>
    </row>
    <row r="13" s="28" customFormat="1" hidden="1" customHeight="1" spans="1:12">
      <c r="A13" s="174"/>
      <c r="B13" s="175"/>
      <c r="C13" s="177" t="s">
        <v>130</v>
      </c>
      <c r="D13" s="178"/>
      <c r="E13" s="178"/>
      <c r="F13" s="178"/>
      <c r="G13" s="179"/>
      <c r="H13" s="180"/>
      <c r="I13" s="180"/>
      <c r="J13" s="181"/>
      <c r="K13" s="181"/>
      <c r="L13" s="157"/>
    </row>
    <row r="14" s="28" customFormat="1" customHeight="1" spans="1:12">
      <c r="A14" s="182"/>
      <c r="B14" s="183" t="s">
        <v>131</v>
      </c>
      <c r="C14" s="184" t="s">
        <v>120</v>
      </c>
      <c r="D14" s="185">
        <f>2916+638+1804</f>
        <v>5358</v>
      </c>
      <c r="E14" s="186">
        <f>2688.17+848.34+1861.25</f>
        <v>5397.76</v>
      </c>
      <c r="F14" s="185">
        <v>6964</v>
      </c>
      <c r="G14" s="186">
        <v>6985.71</v>
      </c>
      <c r="H14" s="187">
        <f>D14+F14</f>
        <v>12322</v>
      </c>
      <c r="I14" s="187">
        <f>E14+G14</f>
        <v>12383.47</v>
      </c>
      <c r="J14" s="188">
        <f>H14/SUM($H$14:$H$26)</f>
        <v>0.430297527587652</v>
      </c>
      <c r="K14" s="189">
        <f>I14/SUM($I$14:$I$26)</f>
        <v>0.166475927241636</v>
      </c>
      <c r="L14" s="157"/>
    </row>
    <row r="15" s="28" customFormat="1" customHeight="1" spans="1:12">
      <c r="A15" s="182"/>
      <c r="B15" s="190"/>
      <c r="C15" s="170" t="s">
        <v>121</v>
      </c>
      <c r="D15" s="171">
        <f>88+646+297</f>
        <v>1031</v>
      </c>
      <c r="E15" s="191">
        <f>534.47+2914.27+1423.58</f>
        <v>4872.32</v>
      </c>
      <c r="F15" s="171">
        <v>1101</v>
      </c>
      <c r="G15" s="191">
        <v>5055.74</v>
      </c>
      <c r="H15" s="172">
        <f t="shared" ref="H15:H46" si="0">D15+F15</f>
        <v>2132</v>
      </c>
      <c r="I15" s="172">
        <f t="shared" ref="I15:I46" si="1">E15+G15</f>
        <v>9928.06</v>
      </c>
      <c r="J15" s="192">
        <f t="shared" ref="J15:J26" si="2">H15/SUM($H$14:$H$26)</f>
        <v>0.0744517390697025</v>
      </c>
      <c r="K15" s="193">
        <f t="shared" ref="K15:K26" si="3">I15/SUM($I$14:$I$26)</f>
        <v>0.133466871095953</v>
      </c>
      <c r="L15" s="157">
        <f>K15+K17+K21</f>
        <v>0.322028151821681</v>
      </c>
    </row>
    <row r="16" s="28" customFormat="1" customHeight="1" spans="1:12">
      <c r="A16" s="182"/>
      <c r="B16" s="190"/>
      <c r="C16" s="170" t="s">
        <v>117</v>
      </c>
      <c r="D16" s="171">
        <f>159+493+386</f>
        <v>1038</v>
      </c>
      <c r="E16" s="191">
        <f>195.6+1009.9+838.25</f>
        <v>2043.75</v>
      </c>
      <c r="F16" s="171">
        <v>1307</v>
      </c>
      <c r="G16" s="191">
        <v>2641.18</v>
      </c>
      <c r="H16" s="172">
        <f t="shared" si="0"/>
        <v>2345</v>
      </c>
      <c r="I16" s="172">
        <f t="shared" si="1"/>
        <v>4684.93</v>
      </c>
      <c r="J16" s="192">
        <f t="shared" si="2"/>
        <v>0.0818899287610001</v>
      </c>
      <c r="K16" s="194">
        <f t="shared" si="3"/>
        <v>0.0629813829090037</v>
      </c>
      <c r="L16" s="157"/>
    </row>
    <row r="17" s="28" customFormat="1" customHeight="1" spans="1:21">
      <c r="A17" s="182"/>
      <c r="B17" s="190"/>
      <c r="C17" s="170" t="s">
        <v>122</v>
      </c>
      <c r="D17" s="171">
        <f>494+303</f>
        <v>797</v>
      </c>
      <c r="E17" s="191">
        <f>3318.06+1982.95</f>
        <v>5301.01</v>
      </c>
      <c r="F17" s="171">
        <v>969</v>
      </c>
      <c r="G17" s="191">
        <v>5784.65</v>
      </c>
      <c r="H17" s="172">
        <f t="shared" si="0"/>
        <v>1766</v>
      </c>
      <c r="I17" s="172">
        <f t="shared" si="1"/>
        <v>11085.66</v>
      </c>
      <c r="J17" s="192">
        <f t="shared" si="2"/>
        <v>0.0616706243888811</v>
      </c>
      <c r="K17" s="194">
        <f t="shared" si="3"/>
        <v>0.149028949687407</v>
      </c>
      <c r="L17" s="195"/>
      <c r="M17" s="18"/>
      <c r="N17" s="18"/>
      <c r="O17" s="18"/>
      <c r="P17" s="18"/>
      <c r="Q17" s="18"/>
      <c r="R17" s="18"/>
      <c r="S17" s="18"/>
    </row>
    <row r="18" s="28" customFormat="1" customHeight="1" spans="1:21">
      <c r="A18" s="182"/>
      <c r="B18" s="190"/>
      <c r="C18" s="170" t="s">
        <v>141</v>
      </c>
      <c r="D18" s="171">
        <f>14+91+131+1</f>
        <v>237</v>
      </c>
      <c r="E18" s="191">
        <f>166.9+971.05+1657.8+11.54</f>
        <v>2807.29</v>
      </c>
      <c r="F18" s="171">
        <v>532</v>
      </c>
      <c r="G18" s="191">
        <v>5587.18</v>
      </c>
      <c r="H18" s="172">
        <f t="shared" si="0"/>
        <v>769</v>
      </c>
      <c r="I18" s="172">
        <f t="shared" si="1"/>
        <v>8394.47</v>
      </c>
      <c r="J18" s="192">
        <f t="shared" si="2"/>
        <v>0.02685430926107</v>
      </c>
      <c r="K18" s="194">
        <f t="shared" si="3"/>
        <v>0.112850208944028</v>
      </c>
      <c r="L18" s="195"/>
      <c r="M18" s="18"/>
      <c r="N18" s="18"/>
      <c r="O18" s="18"/>
      <c r="P18" s="18"/>
      <c r="Q18" s="18"/>
      <c r="R18" s="18"/>
      <c r="S18" s="18"/>
    </row>
    <row r="19" s="28" customFormat="1" customHeight="1" spans="1:21">
      <c r="A19" s="182"/>
      <c r="B19" s="190"/>
      <c r="C19" s="170" t="s">
        <v>126</v>
      </c>
      <c r="D19" s="171">
        <f>77+129</f>
        <v>206</v>
      </c>
      <c r="E19" s="191">
        <f>583.63+1059.1</f>
        <v>1642.73</v>
      </c>
      <c r="F19" s="171">
        <v>273</v>
      </c>
      <c r="G19" s="191">
        <v>2189.39</v>
      </c>
      <c r="H19" s="172">
        <f t="shared" si="0"/>
        <v>479</v>
      </c>
      <c r="I19" s="172">
        <f t="shared" si="1"/>
        <v>3832.12</v>
      </c>
      <c r="J19" s="192">
        <f t="shared" si="2"/>
        <v>0.016727196535829</v>
      </c>
      <c r="K19" s="194">
        <f t="shared" si="3"/>
        <v>0.0515167178748137</v>
      </c>
      <c r="L19" s="195"/>
      <c r="M19" s="18"/>
      <c r="N19" s="18"/>
      <c r="O19" s="18"/>
      <c r="P19" s="18"/>
      <c r="Q19" s="18"/>
      <c r="R19" s="18"/>
      <c r="S19" s="18"/>
    </row>
    <row r="20" s="28" customFormat="1" customHeight="1" spans="1:21">
      <c r="A20" s="182"/>
      <c r="B20" s="190"/>
      <c r="C20" s="170" t="s">
        <v>128</v>
      </c>
      <c r="D20" s="171"/>
      <c r="E20" s="191"/>
      <c r="F20" s="171"/>
      <c r="G20" s="191"/>
      <c r="H20" s="172">
        <f t="shared" si="0"/>
        <v>0</v>
      </c>
      <c r="I20" s="172">
        <f t="shared" si="1"/>
        <v>0</v>
      </c>
      <c r="J20" s="192">
        <f t="shared" si="2"/>
        <v>0</v>
      </c>
      <c r="K20" s="194">
        <f t="shared" si="3"/>
        <v>0</v>
      </c>
      <c r="L20" s="195"/>
      <c r="M20" s="18"/>
      <c r="N20" s="18"/>
      <c r="O20" s="18"/>
      <c r="P20" s="18"/>
      <c r="Q20" s="18"/>
      <c r="R20" s="18"/>
      <c r="S20" s="18"/>
    </row>
    <row r="21" s="28" customFormat="1" customHeight="1" spans="1:21">
      <c r="A21" s="182"/>
      <c r="B21" s="190"/>
      <c r="C21" s="170" t="s">
        <v>133</v>
      </c>
      <c r="D21" s="171">
        <f>83+73</f>
        <v>156</v>
      </c>
      <c r="E21" s="191">
        <f>750.79+674.64</f>
        <v>1425.43</v>
      </c>
      <c r="F21" s="171">
        <v>161</v>
      </c>
      <c r="G21" s="191">
        <v>1515.22</v>
      </c>
      <c r="H21" s="172">
        <f t="shared" si="0"/>
        <v>317</v>
      </c>
      <c r="I21" s="172">
        <f t="shared" si="1"/>
        <v>2940.65</v>
      </c>
      <c r="J21" s="192">
        <f t="shared" si="2"/>
        <v>0.0110699818410393</v>
      </c>
      <c r="K21" s="194">
        <f t="shared" si="3"/>
        <v>0.0395323310383211</v>
      </c>
      <c r="L21" s="195"/>
      <c r="M21" s="18"/>
      <c r="N21" s="18"/>
      <c r="O21" s="18"/>
      <c r="P21" s="18"/>
      <c r="Q21" s="18"/>
      <c r="R21" s="18"/>
      <c r="S21" s="18"/>
    </row>
    <row r="22" s="28" customFormat="1" customHeight="1" spans="1:21">
      <c r="A22" s="182"/>
      <c r="B22" s="190"/>
      <c r="C22" s="196" t="s">
        <v>130</v>
      </c>
      <c r="D22" s="171">
        <f>161+12+418+21</f>
        <v>612</v>
      </c>
      <c r="E22" s="191">
        <f>1848.41+169.08+4891.53+309.99</f>
        <v>7219.01</v>
      </c>
      <c r="F22" s="171">
        <v>1055</v>
      </c>
      <c r="G22" s="191">
        <v>13213.74</v>
      </c>
      <c r="H22" s="172">
        <f t="shared" si="0"/>
        <v>1667</v>
      </c>
      <c r="I22" s="172">
        <f t="shared" si="1"/>
        <v>20432.75</v>
      </c>
      <c r="J22" s="192">
        <f t="shared" si="2"/>
        <v>0.058213437630954</v>
      </c>
      <c r="K22" s="193">
        <f t="shared" si="3"/>
        <v>0.274685609311974</v>
      </c>
      <c r="L22" s="195">
        <f>K22+K19</f>
        <v>0.326202327186787</v>
      </c>
      <c r="M22" s="18"/>
      <c r="N22" s="18"/>
      <c r="O22" s="18"/>
      <c r="P22" s="18"/>
      <c r="Q22" s="18"/>
      <c r="R22" s="18"/>
      <c r="S22" s="18"/>
    </row>
    <row r="23" s="28" customFormat="1" customHeight="1" spans="1:21">
      <c r="A23" s="182"/>
      <c r="B23" s="190"/>
      <c r="C23" s="170" t="s">
        <v>134</v>
      </c>
      <c r="D23" s="171">
        <f>9+10</f>
        <v>19</v>
      </c>
      <c r="E23" s="191">
        <f>39.59+31.49</f>
        <v>71.08</v>
      </c>
      <c r="F23" s="171">
        <v>43</v>
      </c>
      <c r="G23" s="191">
        <v>176.01</v>
      </c>
      <c r="H23" s="172">
        <f t="shared" si="0"/>
        <v>62</v>
      </c>
      <c r="I23" s="172">
        <f t="shared" si="1"/>
        <v>247.09</v>
      </c>
      <c r="J23" s="192">
        <f t="shared" si="2"/>
        <v>0.00216510685849979</v>
      </c>
      <c r="K23" s="194">
        <f t="shared" si="3"/>
        <v>0.00332172943949765</v>
      </c>
      <c r="L23" s="195"/>
      <c r="M23" s="18"/>
      <c r="N23" s="18"/>
      <c r="O23" s="18"/>
      <c r="P23" s="18"/>
      <c r="Q23" s="18"/>
      <c r="R23" s="18"/>
      <c r="S23" s="18"/>
    </row>
    <row r="24" s="28" customFormat="1" customHeight="1" spans="1:21">
      <c r="A24" s="182"/>
      <c r="B24" s="190"/>
      <c r="C24" s="170" t="s">
        <v>135</v>
      </c>
      <c r="D24" s="171"/>
      <c r="E24" s="191"/>
      <c r="F24" s="171"/>
      <c r="G24" s="191"/>
      <c r="H24" s="172">
        <f t="shared" si="0"/>
        <v>0</v>
      </c>
      <c r="I24" s="172">
        <f t="shared" si="1"/>
        <v>0</v>
      </c>
      <c r="J24" s="192">
        <f t="shared" si="2"/>
        <v>0</v>
      </c>
      <c r="K24" s="194">
        <f t="shared" si="3"/>
        <v>0</v>
      </c>
      <c r="L24" s="195"/>
      <c r="M24" s="18"/>
      <c r="N24" s="18"/>
      <c r="O24" s="18"/>
      <c r="P24" s="18"/>
      <c r="Q24" s="18"/>
      <c r="R24" s="18"/>
      <c r="S24" s="18"/>
      <c r="T24" s="18"/>
      <c r="U24" s="18"/>
    </row>
    <row r="25" s="28" customFormat="1" customHeight="1" spans="1:21">
      <c r="A25" s="182"/>
      <c r="B25" s="190"/>
      <c r="C25" s="170" t="s">
        <v>136</v>
      </c>
      <c r="D25" s="171">
        <f>1623+524</f>
        <v>2147</v>
      </c>
      <c r="E25" s="191">
        <f>73.38+66.98</f>
        <v>140.36</v>
      </c>
      <c r="F25" s="171">
        <v>4630</v>
      </c>
      <c r="G25" s="191">
        <v>316.39</v>
      </c>
      <c r="H25" s="172">
        <f t="shared" si="0"/>
        <v>6777</v>
      </c>
      <c r="I25" s="172">
        <f t="shared" si="1"/>
        <v>456.75</v>
      </c>
      <c r="J25" s="192">
        <f t="shared" si="2"/>
        <v>0.236660148065372</v>
      </c>
      <c r="K25" s="194">
        <f t="shared" si="3"/>
        <v>0.00614027245736594</v>
      </c>
      <c r="L25" s="195"/>
      <c r="M25" s="18"/>
      <c r="N25" s="18"/>
      <c r="O25" s="18"/>
      <c r="P25" s="18"/>
      <c r="Q25" s="18"/>
      <c r="R25" s="18"/>
      <c r="S25" s="18"/>
      <c r="T25" s="18"/>
      <c r="U25" s="18"/>
    </row>
    <row r="26" s="28" customFormat="1" customHeight="1" spans="1:21">
      <c r="A26" s="182"/>
      <c r="B26" s="197"/>
      <c r="C26" s="198" t="s">
        <v>137</v>
      </c>
      <c r="D26" s="199"/>
      <c r="E26" s="200"/>
      <c r="F26" s="199"/>
      <c r="G26" s="200"/>
      <c r="H26" s="201">
        <f t="shared" si="0"/>
        <v>0</v>
      </c>
      <c r="I26" s="201">
        <f t="shared" si="1"/>
        <v>0</v>
      </c>
      <c r="J26" s="202">
        <f t="shared" si="2"/>
        <v>0</v>
      </c>
      <c r="K26" s="203">
        <f t="shared" si="3"/>
        <v>0</v>
      </c>
      <c r="L26" s="195"/>
      <c r="M26" s="18"/>
      <c r="N26" s="18"/>
      <c r="O26" s="18"/>
      <c r="P26" s="18"/>
      <c r="Q26" s="18"/>
      <c r="R26" s="18"/>
      <c r="S26" s="18"/>
      <c r="T26" s="18"/>
      <c r="U26" s="18"/>
    </row>
    <row r="27" s="28" customFormat="1" customHeight="1" spans="1:21">
      <c r="A27" s="182"/>
      <c r="B27" s="204" t="s">
        <v>138</v>
      </c>
      <c r="C27" s="205" t="s">
        <v>121</v>
      </c>
      <c r="D27" s="185">
        <f>648+26</f>
        <v>674</v>
      </c>
      <c r="E27" s="186">
        <f>2980.14+148.08</f>
        <v>3128.22</v>
      </c>
      <c r="F27" s="185">
        <v>902</v>
      </c>
      <c r="G27" s="186">
        <v>4361.45</v>
      </c>
      <c r="H27" s="187">
        <f t="shared" si="0"/>
        <v>1576</v>
      </c>
      <c r="I27" s="187">
        <f t="shared" si="1"/>
        <v>7489.67</v>
      </c>
      <c r="J27" s="206">
        <f>H27/SUM($H$27:$H$39)</f>
        <v>0.0577183665995239</v>
      </c>
      <c r="K27" s="207">
        <f>I27/SUM($I$27:$I$39)</f>
        <v>0.0695810229604267</v>
      </c>
      <c r="L27" s="195">
        <f>K27+K28</f>
        <v>0.151348830425248</v>
      </c>
      <c r="M27" s="18"/>
      <c r="N27" s="18"/>
      <c r="O27" s="18"/>
      <c r="P27" s="18"/>
      <c r="Q27" s="18"/>
      <c r="R27" s="18"/>
      <c r="S27" s="18"/>
      <c r="T27" s="18"/>
      <c r="U27" s="18"/>
    </row>
    <row r="28" s="28" customFormat="1" customHeight="1" spans="1:21">
      <c r="A28" s="182"/>
      <c r="B28" s="208"/>
      <c r="C28" s="170" t="s">
        <v>122</v>
      </c>
      <c r="D28" s="171">
        <f>474+43</f>
        <v>517</v>
      </c>
      <c r="E28" s="191">
        <f>3265.47+310.24</f>
        <v>3575.71</v>
      </c>
      <c r="F28" s="171">
        <v>772</v>
      </c>
      <c r="G28" s="191">
        <v>5225.74</v>
      </c>
      <c r="H28" s="172">
        <f t="shared" si="0"/>
        <v>1289</v>
      </c>
      <c r="I28" s="172">
        <f t="shared" si="1"/>
        <v>8801.45</v>
      </c>
      <c r="J28" s="209">
        <f t="shared" ref="J28:J39" si="4">H28/SUM($H$27:$H$39)</f>
        <v>0.0472074711591284</v>
      </c>
      <c r="K28" s="210">
        <f t="shared" ref="K28:K39" si="5">I28/SUM($I$27:$I$39)</f>
        <v>0.0817678074648213</v>
      </c>
      <c r="L28" s="195"/>
      <c r="M28" s="18"/>
      <c r="N28" s="18"/>
      <c r="O28" s="18"/>
      <c r="P28" s="18"/>
      <c r="Q28" s="18"/>
      <c r="R28" s="18"/>
      <c r="S28" s="18"/>
      <c r="T28" s="18"/>
      <c r="U28" s="18"/>
    </row>
    <row r="29" s="28" customFormat="1" customHeight="1" spans="1:21">
      <c r="A29" s="182"/>
      <c r="B29" s="208"/>
      <c r="C29" s="196" t="s">
        <v>120</v>
      </c>
      <c r="D29" s="171">
        <f>962+1704</f>
        <v>2666</v>
      </c>
      <c r="E29" s="191">
        <f>3068.79+2498.26</f>
        <v>5567.05</v>
      </c>
      <c r="F29" s="171">
        <v>4117</v>
      </c>
      <c r="G29" s="191">
        <v>8161.21</v>
      </c>
      <c r="H29" s="172">
        <f t="shared" si="0"/>
        <v>6783</v>
      </c>
      <c r="I29" s="172">
        <f t="shared" si="1"/>
        <v>13728.26</v>
      </c>
      <c r="J29" s="173">
        <f t="shared" si="4"/>
        <v>0.248416041018129</v>
      </c>
      <c r="K29" s="211">
        <f t="shared" si="5"/>
        <v>0.127539180533549</v>
      </c>
      <c r="L29" s="195"/>
      <c r="M29" s="18"/>
      <c r="N29" s="18"/>
      <c r="O29" s="18"/>
      <c r="P29" s="18"/>
      <c r="Q29" s="18"/>
      <c r="R29" s="18"/>
      <c r="S29" s="18"/>
      <c r="T29" s="18"/>
      <c r="U29" s="18"/>
    </row>
    <row r="30" s="28" customFormat="1" customHeight="1" spans="1:21">
      <c r="A30" s="182"/>
      <c r="B30" s="208"/>
      <c r="C30" s="170" t="s">
        <v>139</v>
      </c>
      <c r="D30" s="171">
        <f>566+261</f>
        <v>827</v>
      </c>
      <c r="E30" s="191">
        <f>1171.1+481.93</f>
        <v>1653.03</v>
      </c>
      <c r="F30" s="171">
        <v>1431</v>
      </c>
      <c r="G30" s="191">
        <v>2986.06</v>
      </c>
      <c r="H30" s="172">
        <f t="shared" si="0"/>
        <v>2258</v>
      </c>
      <c r="I30" s="172">
        <f t="shared" si="1"/>
        <v>4639.09</v>
      </c>
      <c r="J30" s="209">
        <f t="shared" si="4"/>
        <v>0.082695477018861</v>
      </c>
      <c r="K30" s="210">
        <f t="shared" si="5"/>
        <v>0.0430983778731888</v>
      </c>
      <c r="L30" s="195"/>
      <c r="M30" s="18"/>
      <c r="N30" s="18"/>
      <c r="O30" s="18"/>
      <c r="P30" s="18"/>
      <c r="Q30" s="18"/>
      <c r="R30" s="18"/>
      <c r="S30" s="18"/>
      <c r="T30" s="18"/>
      <c r="U30" s="18"/>
    </row>
    <row r="31" s="28" customFormat="1" customHeight="1" spans="1:21">
      <c r="A31" s="182"/>
      <c r="B31" s="208"/>
      <c r="C31" s="170" t="s">
        <v>140</v>
      </c>
      <c r="D31" s="171"/>
      <c r="E31" s="191"/>
      <c r="F31" s="171"/>
      <c r="G31" s="191"/>
      <c r="H31" s="172">
        <f t="shared" si="0"/>
        <v>0</v>
      </c>
      <c r="I31" s="172">
        <f t="shared" si="1"/>
        <v>0</v>
      </c>
      <c r="J31" s="209">
        <f t="shared" si="4"/>
        <v>0</v>
      </c>
      <c r="K31" s="210">
        <f t="shared" si="5"/>
        <v>0</v>
      </c>
      <c r="L31" s="195"/>
      <c r="M31" s="18"/>
      <c r="N31" s="18"/>
      <c r="O31" s="18"/>
      <c r="P31" s="18"/>
      <c r="Q31" s="18"/>
      <c r="R31" s="18"/>
      <c r="S31" s="18"/>
      <c r="T31" s="18"/>
      <c r="U31" s="18"/>
    </row>
    <row r="32" s="28" customFormat="1" customHeight="1" spans="1:21">
      <c r="A32" s="182"/>
      <c r="B32" s="208"/>
      <c r="C32" s="170" t="s">
        <v>129</v>
      </c>
      <c r="D32" s="171">
        <f>65</f>
        <v>65</v>
      </c>
      <c r="E32" s="191">
        <f>341.32</f>
        <v>341.32</v>
      </c>
      <c r="F32" s="171">
        <v>71</v>
      </c>
      <c r="G32" s="191">
        <v>431.32</v>
      </c>
      <c r="H32" s="172">
        <f t="shared" si="0"/>
        <v>136</v>
      </c>
      <c r="I32" s="172">
        <f t="shared" si="1"/>
        <v>772.64</v>
      </c>
      <c r="J32" s="209">
        <f t="shared" si="4"/>
        <v>0.00498077275224318</v>
      </c>
      <c r="K32" s="210">
        <f t="shared" si="5"/>
        <v>0.0071780307517079</v>
      </c>
      <c r="L32" s="195"/>
      <c r="M32" s="18"/>
      <c r="N32" s="18"/>
      <c r="O32" s="18"/>
      <c r="P32" s="18"/>
      <c r="Q32" s="18"/>
      <c r="R32" s="18"/>
      <c r="S32" s="18"/>
      <c r="T32" s="18"/>
      <c r="U32" s="18"/>
    </row>
    <row r="33" s="28" customFormat="1" customHeight="1" spans="1:26">
      <c r="A33" s="182"/>
      <c r="B33" s="208"/>
      <c r="C33" s="212" t="s">
        <v>141</v>
      </c>
      <c r="D33" s="171">
        <f>135+175</f>
        <v>310</v>
      </c>
      <c r="E33" s="191">
        <f>1387.34+1904.73</f>
        <v>3292.07</v>
      </c>
      <c r="F33" s="171">
        <v>1693</v>
      </c>
      <c r="G33" s="191">
        <v>15114.18</v>
      </c>
      <c r="H33" s="172">
        <f t="shared" si="0"/>
        <v>2003</v>
      </c>
      <c r="I33" s="172">
        <f t="shared" si="1"/>
        <v>18406.25</v>
      </c>
      <c r="J33" s="209">
        <f t="shared" si="4"/>
        <v>0.0733565281084051</v>
      </c>
      <c r="K33" s="211">
        <f t="shared" si="5"/>
        <v>0.170998949735483</v>
      </c>
      <c r="L33" s="195"/>
      <c r="M33" s="18"/>
      <c r="N33" s="18"/>
      <c r="O33" s="18"/>
      <c r="P33" s="18"/>
      <c r="Q33" s="18"/>
      <c r="R33" s="18"/>
      <c r="S33" s="18"/>
      <c r="T33" s="18"/>
      <c r="U33" s="18"/>
    </row>
    <row r="34" s="28" customFormat="1" customHeight="1" spans="1:26">
      <c r="A34" s="182"/>
      <c r="B34" s="208"/>
      <c r="C34" s="170" t="s">
        <v>142</v>
      </c>
      <c r="D34" s="171"/>
      <c r="E34" s="191"/>
      <c r="F34" s="171"/>
      <c r="G34" s="191"/>
      <c r="H34" s="172">
        <f t="shared" si="0"/>
        <v>0</v>
      </c>
      <c r="I34" s="172">
        <f t="shared" si="1"/>
        <v>0</v>
      </c>
      <c r="J34" s="209">
        <f t="shared" si="4"/>
        <v>0</v>
      </c>
      <c r="K34" s="210">
        <f t="shared" si="5"/>
        <v>0</v>
      </c>
      <c r="L34" s="195"/>
      <c r="M34" s="18"/>
      <c r="N34" s="18"/>
      <c r="O34" s="18"/>
      <c r="P34" s="18"/>
      <c r="Q34" s="18"/>
      <c r="R34" s="18"/>
      <c r="S34" s="18"/>
      <c r="T34" s="18"/>
      <c r="U34" s="18"/>
    </row>
    <row r="35" s="28" customFormat="1" customHeight="1" spans="1:26">
      <c r="A35" s="182"/>
      <c r="B35" s="208"/>
      <c r="C35" s="170" t="s">
        <v>143</v>
      </c>
      <c r="D35" s="171"/>
      <c r="E35" s="191"/>
      <c r="F35" s="171"/>
      <c r="G35" s="191"/>
      <c r="H35" s="172">
        <f t="shared" si="0"/>
        <v>0</v>
      </c>
      <c r="I35" s="172">
        <f t="shared" si="1"/>
        <v>0</v>
      </c>
      <c r="J35" s="209">
        <f t="shared" si="4"/>
        <v>0</v>
      </c>
      <c r="K35" s="210">
        <f t="shared" si="5"/>
        <v>0</v>
      </c>
      <c r="L35" s="195"/>
      <c r="M35" s="18"/>
      <c r="N35" s="18"/>
      <c r="O35" s="18"/>
      <c r="P35" s="18"/>
      <c r="Q35" s="18"/>
      <c r="R35" s="18"/>
      <c r="S35" s="18"/>
      <c r="T35" s="18"/>
      <c r="U35" s="18"/>
    </row>
    <row r="36" s="28" customFormat="1" customHeight="1" spans="1:26">
      <c r="A36" s="182"/>
      <c r="B36" s="208"/>
      <c r="C36" s="212" t="s">
        <v>126</v>
      </c>
      <c r="D36" s="171">
        <f>454+29</f>
        <v>483</v>
      </c>
      <c r="E36" s="191">
        <f>3464.4+272.58</f>
        <v>3736.98</v>
      </c>
      <c r="F36" s="171">
        <v>859</v>
      </c>
      <c r="G36" s="191">
        <v>6962.22</v>
      </c>
      <c r="H36" s="172">
        <f t="shared" si="0"/>
        <v>1342</v>
      </c>
      <c r="I36" s="172">
        <f t="shared" si="1"/>
        <v>10699.2</v>
      </c>
      <c r="J36" s="209">
        <f t="shared" si="4"/>
        <v>0.0491485075993408</v>
      </c>
      <c r="K36" s="193">
        <f t="shared" si="5"/>
        <v>0.0993984088562243</v>
      </c>
      <c r="L36" s="195"/>
      <c r="M36" s="18"/>
      <c r="N36" s="18"/>
      <c r="O36" s="18"/>
      <c r="P36" s="18"/>
      <c r="Q36" s="18"/>
      <c r="R36" s="18"/>
      <c r="S36" s="18"/>
      <c r="T36" s="18"/>
      <c r="U36" s="18"/>
    </row>
    <row r="37" s="28" customFormat="1" customHeight="1" spans="1:26">
      <c r="A37" s="182"/>
      <c r="B37" s="208"/>
      <c r="C37" s="196" t="s">
        <v>130</v>
      </c>
      <c r="D37" s="171">
        <f>1048+174</f>
        <v>1222</v>
      </c>
      <c r="E37" s="191">
        <f>11131.92+2260.78</f>
        <v>13392.7</v>
      </c>
      <c r="F37" s="171">
        <v>2445</v>
      </c>
      <c r="G37" s="191">
        <v>29170.25</v>
      </c>
      <c r="H37" s="172">
        <f t="shared" si="0"/>
        <v>3667</v>
      </c>
      <c r="I37" s="172">
        <f t="shared" si="1"/>
        <v>42562.95</v>
      </c>
      <c r="J37" s="173">
        <f t="shared" si="4"/>
        <v>0.134297747665263</v>
      </c>
      <c r="K37" s="193">
        <f t="shared" si="5"/>
        <v>0.395421106832944</v>
      </c>
      <c r="L37" s="195">
        <f>K37+K36</f>
        <v>0.494819515689168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="28" customFormat="1" customHeight="1" spans="1:26">
      <c r="A38" s="182"/>
      <c r="B38" s="208"/>
      <c r="C38" s="170" t="s">
        <v>144</v>
      </c>
      <c r="D38" s="171">
        <f>3378+195</f>
        <v>3573</v>
      </c>
      <c r="E38" s="191">
        <f>206.21+18.61</f>
        <v>224.82</v>
      </c>
      <c r="F38" s="171">
        <v>4678</v>
      </c>
      <c r="G38" s="191">
        <v>315.22</v>
      </c>
      <c r="H38" s="172">
        <f t="shared" si="0"/>
        <v>8251</v>
      </c>
      <c r="I38" s="172">
        <f t="shared" si="1"/>
        <v>540.04</v>
      </c>
      <c r="J38" s="209">
        <f t="shared" si="4"/>
        <v>0.302179088079106</v>
      </c>
      <c r="K38" s="210">
        <f t="shared" si="5"/>
        <v>0.00501711499165502</v>
      </c>
      <c r="L38" s="195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="28" customFormat="1" customHeight="1" spans="1:26">
      <c r="A39" s="182"/>
      <c r="B39" s="208"/>
      <c r="C39" s="177" t="s">
        <v>137</v>
      </c>
      <c r="D39" s="178"/>
      <c r="E39" s="179"/>
      <c r="F39" s="178"/>
      <c r="G39" s="179"/>
      <c r="H39" s="180">
        <f t="shared" si="0"/>
        <v>0</v>
      </c>
      <c r="I39" s="180">
        <f t="shared" si="1"/>
        <v>0</v>
      </c>
      <c r="J39" s="213">
        <f t="shared" si="4"/>
        <v>0</v>
      </c>
      <c r="K39" s="214">
        <f t="shared" si="5"/>
        <v>0</v>
      </c>
      <c r="L39" s="195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="28" customFormat="1" customHeight="1" spans="1:26">
      <c r="A40" s="182"/>
      <c r="B40" s="183" t="s">
        <v>145</v>
      </c>
      <c r="C40" s="215" t="s">
        <v>121</v>
      </c>
      <c r="D40" s="185">
        <f>1058</f>
        <v>1058</v>
      </c>
      <c r="E40" s="186">
        <f>4900.1</f>
        <v>4900.1</v>
      </c>
      <c r="F40" s="185">
        <v>1521</v>
      </c>
      <c r="G40" s="186">
        <v>6965.59</v>
      </c>
      <c r="H40" s="187">
        <f t="shared" si="0"/>
        <v>2579</v>
      </c>
      <c r="I40" s="187">
        <f t="shared" si="1"/>
        <v>11865.69</v>
      </c>
      <c r="J40" s="216">
        <f>H40/SUM($H$40:$H$51)</f>
        <v>0.142770150575731</v>
      </c>
      <c r="K40" s="217">
        <f>I40/SUM($I$40:$I$51)</f>
        <v>0.243786928027764</v>
      </c>
      <c r="L40" s="195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="28" customFormat="1" customHeight="1" spans="1:26">
      <c r="A41" s="182"/>
      <c r="B41" s="190"/>
      <c r="C41" s="170" t="s">
        <v>146</v>
      </c>
      <c r="D41" s="171">
        <f>668</f>
        <v>668</v>
      </c>
      <c r="E41" s="191">
        <f>1322.87</f>
        <v>1322.87</v>
      </c>
      <c r="F41" s="171">
        <v>976</v>
      </c>
      <c r="G41" s="191">
        <v>1877.17</v>
      </c>
      <c r="H41" s="172">
        <f t="shared" si="0"/>
        <v>1644</v>
      </c>
      <c r="I41" s="172">
        <f t="shared" si="1"/>
        <v>3200.04</v>
      </c>
      <c r="J41" s="218">
        <f t="shared" ref="J41:J51" si="6">H41/SUM($H$40:$H$51)</f>
        <v>0.0910097431355182</v>
      </c>
      <c r="K41" s="219">
        <f t="shared" ref="K41:K51" si="7">I41/SUM($I$40:$I$51)</f>
        <v>0.0657465281130695</v>
      </c>
      <c r="L41" s="157"/>
    </row>
    <row r="42" s="28" customFormat="1" customHeight="1" spans="1:26">
      <c r="A42" s="182"/>
      <c r="B42" s="190"/>
      <c r="C42" s="212" t="s">
        <v>147</v>
      </c>
      <c r="D42" s="171">
        <f>339+158</f>
        <v>497</v>
      </c>
      <c r="E42" s="191">
        <f>2331.04+968.12</f>
        <v>3299.16</v>
      </c>
      <c r="F42" s="171">
        <f>59+861+7</f>
        <v>927</v>
      </c>
      <c r="G42" s="191">
        <f>446.35+5226+49.77</f>
        <v>5722.12</v>
      </c>
      <c r="H42" s="172">
        <f t="shared" si="0"/>
        <v>1424</v>
      </c>
      <c r="I42" s="172">
        <f t="shared" si="1"/>
        <v>9021.28</v>
      </c>
      <c r="J42" s="218">
        <f t="shared" si="6"/>
        <v>0.0788308237378211</v>
      </c>
      <c r="K42" s="220">
        <f t="shared" si="7"/>
        <v>0.185347007892361</v>
      </c>
      <c r="L42" s="157"/>
    </row>
    <row r="43" s="28" customFormat="1" customHeight="1" spans="1:26">
      <c r="A43" s="182"/>
      <c r="B43" s="190"/>
      <c r="C43" s="212" t="s">
        <v>120</v>
      </c>
      <c r="D43" s="171">
        <f>1665</f>
        <v>1665</v>
      </c>
      <c r="E43" s="191">
        <f>2994.2</f>
        <v>2994.2</v>
      </c>
      <c r="F43" s="171">
        <v>2748</v>
      </c>
      <c r="G43" s="191">
        <v>4885.76</v>
      </c>
      <c r="H43" s="172">
        <f t="shared" si="0"/>
        <v>4413</v>
      </c>
      <c r="I43" s="172">
        <f t="shared" si="1"/>
        <v>7879.96</v>
      </c>
      <c r="J43" s="218">
        <f t="shared" si="6"/>
        <v>0.244298051372896</v>
      </c>
      <c r="K43" s="220">
        <f t="shared" si="7"/>
        <v>0.161897979922083</v>
      </c>
      <c r="L43" s="157"/>
    </row>
    <row r="44" s="28" customFormat="1" customHeight="1" spans="1:26">
      <c r="A44" s="182"/>
      <c r="B44" s="190"/>
      <c r="C44" s="170" t="s">
        <v>148</v>
      </c>
      <c r="D44" s="171">
        <f>81</f>
        <v>81</v>
      </c>
      <c r="E44" s="191">
        <f>1178.02</f>
        <v>1178.02</v>
      </c>
      <c r="F44" s="171">
        <v>127</v>
      </c>
      <c r="G44" s="191">
        <v>1779.16</v>
      </c>
      <c r="H44" s="172">
        <f t="shared" si="0"/>
        <v>208</v>
      </c>
      <c r="I44" s="172">
        <f t="shared" si="1"/>
        <v>2957.18</v>
      </c>
      <c r="J44" s="218">
        <f t="shared" si="6"/>
        <v>0.0115146147032772</v>
      </c>
      <c r="K44" s="219">
        <f t="shared" si="7"/>
        <v>0.0607568399161907</v>
      </c>
      <c r="L44" s="157"/>
    </row>
    <row r="45" s="28" customFormat="1" customHeight="1" spans="1:26">
      <c r="A45" s="182"/>
      <c r="B45" s="190"/>
      <c r="C45" s="170" t="s">
        <v>149</v>
      </c>
      <c r="D45" s="171">
        <f>31</f>
        <v>31</v>
      </c>
      <c r="E45" s="191">
        <f>128.17</f>
        <v>128.17</v>
      </c>
      <c r="F45" s="171">
        <v>37</v>
      </c>
      <c r="G45" s="191">
        <v>167.32</v>
      </c>
      <c r="H45" s="172">
        <f t="shared" si="0"/>
        <v>68</v>
      </c>
      <c r="I45" s="172">
        <f t="shared" si="1"/>
        <v>295.49</v>
      </c>
      <c r="J45" s="218">
        <f t="shared" si="6"/>
        <v>0.0037643932683791</v>
      </c>
      <c r="K45" s="219">
        <f t="shared" si="7"/>
        <v>0.00607099961004578</v>
      </c>
      <c r="L45" s="157"/>
    </row>
    <row r="46" s="28" customFormat="1" customHeight="1" spans="1:26">
      <c r="A46" s="182"/>
      <c r="B46" s="190"/>
      <c r="C46" s="212" t="s">
        <v>126</v>
      </c>
      <c r="D46" s="171">
        <f>195</f>
        <v>195</v>
      </c>
      <c r="E46" s="191">
        <f>1710.13</f>
        <v>1710.13</v>
      </c>
      <c r="F46" s="171">
        <v>312</v>
      </c>
      <c r="G46" s="191">
        <v>2628.54</v>
      </c>
      <c r="H46" s="172">
        <f t="shared" si="0"/>
        <v>507</v>
      </c>
      <c r="I46" s="172">
        <f t="shared" si="1"/>
        <v>4338.67</v>
      </c>
      <c r="J46" s="218">
        <f t="shared" si="6"/>
        <v>0.0280668733392383</v>
      </c>
      <c r="K46" s="220">
        <f t="shared" si="7"/>
        <v>0.089140288598996</v>
      </c>
      <c r="L46" s="157"/>
    </row>
    <row r="47" s="28" customFormat="1" customHeight="1" spans="1:26">
      <c r="A47" s="182"/>
      <c r="B47" s="190"/>
      <c r="C47" s="170" t="s">
        <v>150</v>
      </c>
      <c r="D47" s="171">
        <f>127</f>
        <v>127</v>
      </c>
      <c r="E47" s="191">
        <f>1104.67</f>
        <v>1104.67</v>
      </c>
      <c r="F47" s="171">
        <v>179</v>
      </c>
      <c r="G47" s="191">
        <v>1601.47</v>
      </c>
      <c r="H47" s="172">
        <f t="shared" ref="H47:H78" si="8">D47+F47</f>
        <v>306</v>
      </c>
      <c r="I47" s="172">
        <f t="shared" ref="I47:I78" si="9">E47+G47</f>
        <v>2706.14</v>
      </c>
      <c r="J47" s="218">
        <f t="shared" si="6"/>
        <v>0.0169397697077059</v>
      </c>
      <c r="K47" s="219">
        <f t="shared" si="7"/>
        <v>0.0555990892576036</v>
      </c>
      <c r="L47" s="157"/>
    </row>
    <row r="48" s="28" customFormat="1" customHeight="1" spans="1:26">
      <c r="A48" s="182"/>
      <c r="B48" s="190"/>
      <c r="C48" s="170" t="s">
        <v>151</v>
      </c>
      <c r="D48" s="171">
        <f>128</f>
        <v>128</v>
      </c>
      <c r="E48" s="191">
        <f>1258.71</f>
        <v>1258.71</v>
      </c>
      <c r="F48" s="171">
        <v>592</v>
      </c>
      <c r="G48" s="191">
        <v>4808.28</v>
      </c>
      <c r="H48" s="172">
        <f t="shared" si="8"/>
        <v>720</v>
      </c>
      <c r="I48" s="172">
        <f t="shared" si="9"/>
        <v>6066.99</v>
      </c>
      <c r="J48" s="218">
        <f t="shared" si="6"/>
        <v>0.0398582816651904</v>
      </c>
      <c r="K48" s="219">
        <f t="shared" si="7"/>
        <v>0.124649544567165</v>
      </c>
      <c r="L48" s="157"/>
    </row>
    <row r="49" s="28" customFormat="1" customHeight="1" spans="1:12">
      <c r="A49" s="182"/>
      <c r="B49" s="190"/>
      <c r="C49" s="170" t="s">
        <v>135</v>
      </c>
      <c r="D49" s="171"/>
      <c r="E49" s="191"/>
      <c r="F49" s="171"/>
      <c r="G49" s="191"/>
      <c r="H49" s="172">
        <f t="shared" si="8"/>
        <v>0</v>
      </c>
      <c r="I49" s="172">
        <f t="shared" si="9"/>
        <v>0</v>
      </c>
      <c r="J49" s="218">
        <f t="shared" si="6"/>
        <v>0</v>
      </c>
      <c r="K49" s="219">
        <f t="shared" si="7"/>
        <v>0</v>
      </c>
      <c r="L49" s="157"/>
    </row>
    <row r="50" s="28" customFormat="1" customHeight="1" spans="1:12">
      <c r="A50" s="182"/>
      <c r="B50" s="190"/>
      <c r="C50" s="170" t="s">
        <v>144</v>
      </c>
      <c r="D50" s="171">
        <f>2438</f>
        <v>2438</v>
      </c>
      <c r="E50" s="191">
        <f>140.15</f>
        <v>140.15</v>
      </c>
      <c r="F50" s="171">
        <v>3757</v>
      </c>
      <c r="G50" s="191">
        <v>200.79</v>
      </c>
      <c r="H50" s="172">
        <f t="shared" si="8"/>
        <v>6195</v>
      </c>
      <c r="I50" s="172">
        <f t="shared" si="9"/>
        <v>340.94</v>
      </c>
      <c r="J50" s="218">
        <f t="shared" si="6"/>
        <v>0.342947298494243</v>
      </c>
      <c r="K50" s="219">
        <f t="shared" si="7"/>
        <v>0.00700479409472066</v>
      </c>
      <c r="L50" s="157"/>
    </row>
    <row r="51" s="28" customFormat="1" customHeight="1" spans="1:12">
      <c r="A51" s="182"/>
      <c r="B51" s="190"/>
      <c r="C51" s="177" t="s">
        <v>152</v>
      </c>
      <c r="D51" s="178"/>
      <c r="E51" s="179"/>
      <c r="F51" s="178"/>
      <c r="G51" s="179"/>
      <c r="H51" s="180">
        <f t="shared" si="8"/>
        <v>0</v>
      </c>
      <c r="I51" s="180">
        <f t="shared" si="9"/>
        <v>0</v>
      </c>
      <c r="J51" s="221">
        <f t="shared" si="6"/>
        <v>0</v>
      </c>
      <c r="K51" s="222">
        <f t="shared" si="7"/>
        <v>0</v>
      </c>
      <c r="L51" s="157"/>
    </row>
    <row r="52" s="28" customFormat="1" customHeight="1" spans="1:12">
      <c r="A52" s="182"/>
      <c r="B52" s="183" t="s">
        <v>53</v>
      </c>
      <c r="C52" s="184" t="s">
        <v>153</v>
      </c>
      <c r="D52" s="185">
        <f>649</f>
        <v>649</v>
      </c>
      <c r="E52" s="186">
        <f>2807.79</f>
        <v>2807.79</v>
      </c>
      <c r="F52" s="185">
        <v>1008</v>
      </c>
      <c r="G52" s="186">
        <v>4576.57</v>
      </c>
      <c r="H52" s="187">
        <f t="shared" si="8"/>
        <v>1657</v>
      </c>
      <c r="I52" s="187">
        <f t="shared" si="9"/>
        <v>7384.36</v>
      </c>
      <c r="J52" s="216">
        <f>H52/SUM($H$52:$H$64)</f>
        <v>0.0708422402736212</v>
      </c>
      <c r="K52" s="217">
        <f>I52/SUM($I$52:$I$64)</f>
        <v>0.0977319458826469</v>
      </c>
      <c r="L52" s="157">
        <f>K52+K55+K58</f>
        <v>0.253717444566559</v>
      </c>
    </row>
    <row r="53" s="28" customFormat="1" customHeight="1" spans="1:12">
      <c r="A53" s="182"/>
      <c r="B53" s="190"/>
      <c r="C53" s="170" t="s">
        <v>116</v>
      </c>
      <c r="D53" s="171">
        <f>1961</f>
        <v>1961</v>
      </c>
      <c r="E53" s="191">
        <f>3183.57</f>
        <v>3183.57</v>
      </c>
      <c r="F53" s="171">
        <v>2437</v>
      </c>
      <c r="G53" s="191">
        <v>4246.9</v>
      </c>
      <c r="H53" s="172">
        <f t="shared" si="8"/>
        <v>4398</v>
      </c>
      <c r="I53" s="172">
        <f t="shared" si="9"/>
        <v>7430.47</v>
      </c>
      <c r="J53" s="218">
        <f t="shared" ref="J53:J64" si="10">H53/SUM($H$52:$H$64)</f>
        <v>0.1880290722531</v>
      </c>
      <c r="K53" s="220">
        <f t="shared" ref="K53:K64" si="11">I53/SUM($I$52:$I$64)</f>
        <v>0.0983422113659994</v>
      </c>
      <c r="L53" s="157"/>
    </row>
    <row r="54" s="28" customFormat="1" customHeight="1" spans="1:12">
      <c r="A54" s="182"/>
      <c r="B54" s="190"/>
      <c r="C54" s="170" t="s">
        <v>117</v>
      </c>
      <c r="D54" s="171">
        <f>775</f>
        <v>775</v>
      </c>
      <c r="E54" s="191">
        <f>1557.38</f>
        <v>1557.38</v>
      </c>
      <c r="F54" s="171">
        <v>994</v>
      </c>
      <c r="G54" s="191">
        <v>2055.53</v>
      </c>
      <c r="H54" s="172">
        <f t="shared" si="8"/>
        <v>1769</v>
      </c>
      <c r="I54" s="172">
        <f t="shared" si="9"/>
        <v>3612.91</v>
      </c>
      <c r="J54" s="218">
        <f t="shared" si="10"/>
        <v>0.0756306113723814</v>
      </c>
      <c r="K54" s="219">
        <f t="shared" si="11"/>
        <v>0.0478168351216455</v>
      </c>
      <c r="L54" s="157"/>
    </row>
    <row r="55" s="28" customFormat="1" customHeight="1" spans="1:12">
      <c r="A55" s="182"/>
      <c r="B55" s="190"/>
      <c r="C55" s="170" t="s">
        <v>154</v>
      </c>
      <c r="D55" s="171">
        <f>641</f>
        <v>641</v>
      </c>
      <c r="E55" s="191">
        <f>3726.02</f>
        <v>3726.02</v>
      </c>
      <c r="F55" s="171">
        <v>735</v>
      </c>
      <c r="G55" s="191">
        <v>4427.78</v>
      </c>
      <c r="H55" s="172">
        <f t="shared" si="8"/>
        <v>1376</v>
      </c>
      <c r="I55" s="172">
        <f t="shared" si="9"/>
        <v>8153.8</v>
      </c>
      <c r="J55" s="218">
        <f t="shared" si="10"/>
        <v>0.058828559213339</v>
      </c>
      <c r="K55" s="219">
        <f t="shared" si="11"/>
        <v>0.107915478164381</v>
      </c>
      <c r="L55" s="157"/>
    </row>
    <row r="56" s="28" customFormat="1" customHeight="1" spans="1:12">
      <c r="A56" s="182"/>
      <c r="B56" s="190"/>
      <c r="C56" s="196" t="s">
        <v>155</v>
      </c>
      <c r="D56" s="171">
        <f>785</f>
        <v>785</v>
      </c>
      <c r="E56" s="191">
        <f>9291.52</f>
        <v>9291.52</v>
      </c>
      <c r="F56" s="171">
        <v>1134</v>
      </c>
      <c r="G56" s="191">
        <v>13379.95</v>
      </c>
      <c r="H56" s="172">
        <f t="shared" si="8"/>
        <v>1919</v>
      </c>
      <c r="I56" s="172">
        <f t="shared" si="9"/>
        <v>22671.47</v>
      </c>
      <c r="J56" s="218">
        <f t="shared" si="10"/>
        <v>0.0820436083796494</v>
      </c>
      <c r="K56" s="193">
        <f t="shared" si="11"/>
        <v>0.30005672517592</v>
      </c>
      <c r="L56" s="157">
        <f>K56+K57</f>
        <v>0.370280534185455</v>
      </c>
    </row>
    <row r="57" s="28" customFormat="1" customHeight="1" spans="1:12">
      <c r="A57" s="182"/>
      <c r="B57" s="190"/>
      <c r="C57" s="196" t="s">
        <v>126</v>
      </c>
      <c r="D57" s="171">
        <f>268</f>
        <v>268</v>
      </c>
      <c r="E57" s="191">
        <f>2388.24</f>
        <v>2388.24</v>
      </c>
      <c r="F57" s="171">
        <f>56+285</f>
        <v>341</v>
      </c>
      <c r="G57" s="191">
        <f>530.91+2386.77</f>
        <v>2917.68</v>
      </c>
      <c r="H57" s="172">
        <f t="shared" si="8"/>
        <v>609</v>
      </c>
      <c r="I57" s="172">
        <f t="shared" si="9"/>
        <v>5305.92</v>
      </c>
      <c r="J57" s="218">
        <f t="shared" si="10"/>
        <v>0.0260367678495083</v>
      </c>
      <c r="K57" s="193">
        <f t="shared" si="11"/>
        <v>0.0702238090095356</v>
      </c>
      <c r="L57" s="157"/>
    </row>
    <row r="58" s="28" customFormat="1" customHeight="1" spans="1:12">
      <c r="A58" s="182"/>
      <c r="B58" s="190"/>
      <c r="C58" s="170" t="s">
        <v>133</v>
      </c>
      <c r="D58" s="171">
        <f>175</f>
        <v>175</v>
      </c>
      <c r="E58" s="191">
        <f>1600.46</f>
        <v>1600.46</v>
      </c>
      <c r="F58" s="171">
        <v>213</v>
      </c>
      <c r="G58" s="191">
        <v>2031.58</v>
      </c>
      <c r="H58" s="172">
        <f t="shared" si="8"/>
        <v>388</v>
      </c>
      <c r="I58" s="172">
        <f t="shared" si="9"/>
        <v>3632.04</v>
      </c>
      <c r="J58" s="218">
        <f t="shared" si="10"/>
        <v>0.0165882855921334</v>
      </c>
      <c r="K58" s="219">
        <f t="shared" si="11"/>
        <v>0.0480700205195317</v>
      </c>
      <c r="L58" s="157"/>
    </row>
    <row r="59" s="28" customFormat="1" customHeight="1" spans="1:12">
      <c r="A59" s="182"/>
      <c r="B59" s="190"/>
      <c r="C59" s="170" t="s">
        <v>141</v>
      </c>
      <c r="D59" s="171">
        <f>272</f>
        <v>272</v>
      </c>
      <c r="E59" s="191">
        <f>2848.52</f>
        <v>2848.52</v>
      </c>
      <c r="F59" s="171">
        <v>1625</v>
      </c>
      <c r="G59" s="191">
        <v>13382.24</v>
      </c>
      <c r="H59" s="172">
        <f t="shared" si="8"/>
        <v>1897</v>
      </c>
      <c r="I59" s="172">
        <f t="shared" si="9"/>
        <v>16230.76</v>
      </c>
      <c r="J59" s="218">
        <f t="shared" si="10"/>
        <v>0.0811030354852501</v>
      </c>
      <c r="K59" s="219">
        <f t="shared" si="11"/>
        <v>0.214813979539761</v>
      </c>
      <c r="L59" s="157"/>
    </row>
    <row r="60" s="28" customFormat="1" customHeight="1" spans="1:12">
      <c r="A60" s="182"/>
      <c r="B60" s="190"/>
      <c r="C60" s="170" t="s">
        <v>161</v>
      </c>
      <c r="D60" s="171">
        <f>51</f>
        <v>51</v>
      </c>
      <c r="E60" s="191">
        <f>238.42</f>
        <v>238.42</v>
      </c>
      <c r="F60" s="171">
        <v>52</v>
      </c>
      <c r="G60" s="191">
        <v>230.53</v>
      </c>
      <c r="H60" s="172">
        <f t="shared" si="8"/>
        <v>103</v>
      </c>
      <c r="I60" s="172">
        <f t="shared" si="9"/>
        <v>468.95</v>
      </c>
      <c r="J60" s="218">
        <f t="shared" si="10"/>
        <v>0.00440359127832407</v>
      </c>
      <c r="K60" s="219">
        <f t="shared" si="11"/>
        <v>0.00620654952110505</v>
      </c>
      <c r="L60" s="157"/>
    </row>
    <row r="61" s="28" customFormat="1" customHeight="1" spans="1:12">
      <c r="A61" s="182"/>
      <c r="B61" s="190"/>
      <c r="C61" s="170" t="s">
        <v>157</v>
      </c>
      <c r="D61" s="171"/>
      <c r="E61" s="191"/>
      <c r="F61" s="171"/>
      <c r="G61" s="191"/>
      <c r="H61" s="172">
        <f t="shared" si="8"/>
        <v>0</v>
      </c>
      <c r="I61" s="172">
        <f t="shared" si="9"/>
        <v>0</v>
      </c>
      <c r="J61" s="218">
        <f t="shared" si="10"/>
        <v>0</v>
      </c>
      <c r="K61" s="219">
        <f t="shared" si="11"/>
        <v>0</v>
      </c>
      <c r="L61" s="157"/>
    </row>
    <row r="62" s="28" customFormat="1" customHeight="1" spans="1:12">
      <c r="A62" s="182"/>
      <c r="B62" s="190"/>
      <c r="C62" s="223" t="s">
        <v>142</v>
      </c>
      <c r="D62" s="171"/>
      <c r="E62" s="191"/>
      <c r="F62" s="171"/>
      <c r="G62" s="191"/>
      <c r="H62" s="172">
        <f t="shared" si="8"/>
        <v>0</v>
      </c>
      <c r="I62" s="172">
        <f t="shared" si="9"/>
        <v>0</v>
      </c>
      <c r="J62" s="218">
        <f t="shared" si="10"/>
        <v>0</v>
      </c>
      <c r="K62" s="219">
        <f t="shared" si="11"/>
        <v>0</v>
      </c>
      <c r="L62" s="157"/>
    </row>
    <row r="63" s="28" customFormat="1" customHeight="1" spans="1:12">
      <c r="A63" s="182"/>
      <c r="B63" s="190"/>
      <c r="C63" s="223" t="s">
        <v>158</v>
      </c>
      <c r="D63" s="171">
        <f>4012</f>
        <v>4012</v>
      </c>
      <c r="E63" s="191">
        <f>259.39</f>
        <v>259.39</v>
      </c>
      <c r="F63" s="171">
        <v>5262</v>
      </c>
      <c r="G63" s="191">
        <v>407.21</v>
      </c>
      <c r="H63" s="172">
        <f t="shared" si="8"/>
        <v>9274</v>
      </c>
      <c r="I63" s="172">
        <f t="shared" si="9"/>
        <v>666.6</v>
      </c>
      <c r="J63" s="218">
        <f t="shared" si="10"/>
        <v>0.396494228302693</v>
      </c>
      <c r="K63" s="219">
        <f t="shared" si="11"/>
        <v>0.00882244569947462</v>
      </c>
      <c r="L63" s="157"/>
    </row>
    <row r="64" s="28" customFormat="1" customHeight="1" spans="1:12">
      <c r="A64" s="182"/>
      <c r="B64" s="197"/>
      <c r="C64" s="198" t="s">
        <v>137</v>
      </c>
      <c r="D64" s="199"/>
      <c r="E64" s="200"/>
      <c r="F64" s="199"/>
      <c r="G64" s="200"/>
      <c r="H64" s="201">
        <f t="shared" si="8"/>
        <v>0</v>
      </c>
      <c r="I64" s="201">
        <f t="shared" si="9"/>
        <v>0</v>
      </c>
      <c r="J64" s="224">
        <f t="shared" si="10"/>
        <v>0</v>
      </c>
      <c r="K64" s="225">
        <f t="shared" si="11"/>
        <v>0</v>
      </c>
      <c r="L64" s="157"/>
    </row>
    <row r="65" s="28" customFormat="1" customHeight="1" spans="1:12">
      <c r="A65" s="174" t="s">
        <v>159</v>
      </c>
      <c r="B65" s="175" t="s">
        <v>55</v>
      </c>
      <c r="C65" s="226" t="s">
        <v>160</v>
      </c>
      <c r="D65" s="227">
        <f>555</f>
        <v>555</v>
      </c>
      <c r="E65" s="228">
        <f>2555.06</f>
        <v>2555.06</v>
      </c>
      <c r="F65" s="227">
        <v>863</v>
      </c>
      <c r="G65" s="228">
        <v>3833.54</v>
      </c>
      <c r="H65" s="229">
        <f t="shared" si="8"/>
        <v>1418</v>
      </c>
      <c r="I65" s="229">
        <f t="shared" si="9"/>
        <v>6388.6</v>
      </c>
      <c r="J65" s="230">
        <f>H65/SUM($H$65:$H$78)</f>
        <v>0.072822514379622</v>
      </c>
      <c r="K65" s="230">
        <f>I65/SUM($I$65:$I$78)</f>
        <v>0.0953277808275757</v>
      </c>
      <c r="L65" s="157"/>
    </row>
    <row r="66" s="28" customFormat="1" customHeight="1" spans="1:12">
      <c r="A66" s="174"/>
      <c r="B66" s="175"/>
      <c r="C66" s="170" t="s">
        <v>116</v>
      </c>
      <c r="D66" s="171">
        <f>1616</f>
        <v>1616</v>
      </c>
      <c r="E66" s="191">
        <f>3008.98</f>
        <v>3008.98</v>
      </c>
      <c r="F66" s="171">
        <v>2280</v>
      </c>
      <c r="G66" s="191">
        <v>4390.68</v>
      </c>
      <c r="H66" s="172">
        <f t="shared" si="8"/>
        <v>3896</v>
      </c>
      <c r="I66" s="172">
        <f t="shared" si="9"/>
        <v>7399.66</v>
      </c>
      <c r="J66" s="230">
        <f>H66/SUM($H$65:$H$78)</f>
        <v>0.200082169268694</v>
      </c>
      <c r="K66" s="230">
        <f>I66/SUM($I$65:$I$78)</f>
        <v>0.110414357868481</v>
      </c>
      <c r="L66" s="157"/>
    </row>
    <row r="67" s="28" customFormat="1" customHeight="1" spans="1:12">
      <c r="A67" s="174"/>
      <c r="B67" s="175"/>
      <c r="C67" s="170" t="s">
        <v>161</v>
      </c>
      <c r="D67" s="171">
        <v>19</v>
      </c>
      <c r="E67" s="191">
        <v>86.21</v>
      </c>
      <c r="F67" s="171">
        <v>42</v>
      </c>
      <c r="G67" s="191">
        <v>218.79</v>
      </c>
      <c r="H67" s="172">
        <f t="shared" si="8"/>
        <v>61</v>
      </c>
      <c r="I67" s="172">
        <f t="shared" si="9"/>
        <v>305</v>
      </c>
      <c r="J67" s="230">
        <f>H67/SUM($H$65:$H$78)</f>
        <v>0.00313270336894002</v>
      </c>
      <c r="K67" s="230">
        <f>I67/SUM($I$65:$I$78)</f>
        <v>0.00455107115055107</v>
      </c>
      <c r="L67" s="157"/>
    </row>
    <row r="68" s="28" customFormat="1" customHeight="1" spans="1:12">
      <c r="A68" s="174"/>
      <c r="B68" s="175"/>
      <c r="C68" s="170" t="s">
        <v>117</v>
      </c>
      <c r="D68" s="171">
        <f>575+1</f>
        <v>576</v>
      </c>
      <c r="E68" s="191">
        <f>1146.48+3.75</f>
        <v>1150.23</v>
      </c>
      <c r="F68" s="171">
        <v>1002</v>
      </c>
      <c r="G68" s="191">
        <v>2363.19</v>
      </c>
      <c r="H68" s="172">
        <f t="shared" si="8"/>
        <v>1578</v>
      </c>
      <c r="I68" s="172">
        <f t="shared" si="9"/>
        <v>3513.42</v>
      </c>
      <c r="J68" s="230">
        <f>H68/SUM($H$65:$H$78)</f>
        <v>0.0810394412489729</v>
      </c>
      <c r="K68" s="230">
        <f>I68/SUM($I$65:$I$78)</f>
        <v>0.0524256537762923</v>
      </c>
      <c r="L68" s="157"/>
    </row>
    <row r="69" s="28" customFormat="1" customHeight="1" spans="1:12">
      <c r="A69" s="174"/>
      <c r="B69" s="175"/>
      <c r="C69" s="170" t="s">
        <v>122</v>
      </c>
      <c r="D69" s="171">
        <f>439</f>
        <v>439</v>
      </c>
      <c r="E69" s="191">
        <f>2746.69</f>
        <v>2746.69</v>
      </c>
      <c r="F69" s="171">
        <v>689</v>
      </c>
      <c r="G69" s="191">
        <v>4311.83</v>
      </c>
      <c r="H69" s="172">
        <f t="shared" si="8"/>
        <v>1128</v>
      </c>
      <c r="I69" s="172">
        <f t="shared" si="9"/>
        <v>7058.52</v>
      </c>
      <c r="J69" s="230">
        <f>H69/SUM($H$65:$H$78)</f>
        <v>0.0579293344289236</v>
      </c>
      <c r="K69" s="230">
        <f>I69/SUM($I$65:$I$78)</f>
        <v>0.105324022090452</v>
      </c>
      <c r="L69" s="157"/>
    </row>
    <row r="70" s="28" customFormat="1" customHeight="1" spans="1:12">
      <c r="A70" s="174"/>
      <c r="B70" s="175"/>
      <c r="C70" s="170" t="s">
        <v>130</v>
      </c>
      <c r="D70" s="171">
        <f>714</f>
        <v>714</v>
      </c>
      <c r="E70" s="191">
        <f>8486.82</f>
        <v>8486.82</v>
      </c>
      <c r="F70" s="171">
        <v>800</v>
      </c>
      <c r="G70" s="191">
        <v>8251.81</v>
      </c>
      <c r="H70" s="172">
        <f t="shared" si="8"/>
        <v>1514</v>
      </c>
      <c r="I70" s="172">
        <f t="shared" si="9"/>
        <v>16738.63</v>
      </c>
      <c r="J70" s="230">
        <f>H70/SUM($H$65:$H$78)</f>
        <v>0.0777526705012325</v>
      </c>
      <c r="K70" s="230">
        <f>I70/SUM($I$65:$I$78)</f>
        <v>0.249766216697537</v>
      </c>
      <c r="L70" s="157"/>
    </row>
    <row r="71" s="28" customFormat="1" customHeight="1" spans="1:12">
      <c r="A71" s="174"/>
      <c r="B71" s="175"/>
      <c r="C71" s="170" t="s">
        <v>162</v>
      </c>
      <c r="D71" s="171">
        <f>72+30</f>
        <v>102</v>
      </c>
      <c r="E71" s="191">
        <f>757.86+280.43</f>
        <v>1038.29</v>
      </c>
      <c r="F71" s="171">
        <v>180</v>
      </c>
      <c r="G71" s="191">
        <v>1868.08</v>
      </c>
      <c r="H71" s="172">
        <f t="shared" si="8"/>
        <v>282</v>
      </c>
      <c r="I71" s="172">
        <f t="shared" si="9"/>
        <v>2906.37</v>
      </c>
      <c r="J71" s="230">
        <f>H71/SUM($H$65:$H$78)</f>
        <v>0.0144823336072309</v>
      </c>
      <c r="K71" s="230">
        <f>I71/SUM($I$65:$I$78)</f>
        <v>0.0433675300322201</v>
      </c>
      <c r="L71" s="157"/>
    </row>
    <row r="72" s="28" customFormat="1" customHeight="1" spans="1:12">
      <c r="A72" s="174"/>
      <c r="B72" s="175"/>
      <c r="C72" s="170" t="s">
        <v>163</v>
      </c>
      <c r="D72" s="171">
        <f>220</f>
        <v>220</v>
      </c>
      <c r="E72" s="191">
        <f>1804.26</f>
        <v>1804.26</v>
      </c>
      <c r="F72" s="171">
        <v>309</v>
      </c>
      <c r="G72" s="191">
        <v>2462.07</v>
      </c>
      <c r="H72" s="172">
        <f t="shared" si="8"/>
        <v>529</v>
      </c>
      <c r="I72" s="172">
        <f t="shared" si="9"/>
        <v>4266.33</v>
      </c>
      <c r="J72" s="230">
        <f>H72/SUM($H$65:$H$78)</f>
        <v>0.0271672144617913</v>
      </c>
      <c r="K72" s="230">
        <f>I72/SUM($I$65:$I$78)</f>
        <v>0.0636602340384609</v>
      </c>
      <c r="L72" s="157"/>
    </row>
    <row r="73" s="28" customFormat="1" customHeight="1" spans="1:12">
      <c r="A73" s="174"/>
      <c r="B73" s="175"/>
      <c r="C73" s="170" t="s">
        <v>164</v>
      </c>
      <c r="D73" s="171">
        <f>175</f>
        <v>175</v>
      </c>
      <c r="E73" s="191">
        <f>1856.11</f>
        <v>1856.11</v>
      </c>
      <c r="F73" s="171">
        <v>1955</v>
      </c>
      <c r="G73" s="191">
        <v>15873.77</v>
      </c>
      <c r="H73" s="172">
        <f t="shared" si="8"/>
        <v>2130</v>
      </c>
      <c r="I73" s="172">
        <f t="shared" si="9"/>
        <v>17729.88</v>
      </c>
      <c r="J73" s="230">
        <f>H73/SUM($H$65:$H$78)</f>
        <v>0.109387838948233</v>
      </c>
      <c r="K73" s="230">
        <f>I73/SUM($I$65:$I$78)</f>
        <v>0.264557197936828</v>
      </c>
      <c r="L73" s="157"/>
    </row>
    <row r="74" s="28" customFormat="1" customHeight="1" spans="1:12">
      <c r="A74" s="174"/>
      <c r="B74" s="175"/>
      <c r="C74" s="170" t="s">
        <v>157</v>
      </c>
      <c r="D74" s="171"/>
      <c r="E74" s="191"/>
      <c r="F74" s="171"/>
      <c r="G74" s="191"/>
      <c r="H74" s="172">
        <f t="shared" si="8"/>
        <v>0</v>
      </c>
      <c r="I74" s="172">
        <f t="shared" si="9"/>
        <v>0</v>
      </c>
      <c r="J74" s="230">
        <f>H74/SUM($H$65:$H$78)</f>
        <v>0</v>
      </c>
      <c r="K74" s="230">
        <f>I74/SUM($I$65:$I$78)</f>
        <v>0</v>
      </c>
      <c r="L74" s="157"/>
    </row>
    <row r="75" s="28" customFormat="1" customHeight="1" spans="1:12">
      <c r="A75" s="174"/>
      <c r="B75" s="175"/>
      <c r="C75" s="223" t="s">
        <v>165</v>
      </c>
      <c r="D75" s="171"/>
      <c r="E75" s="191"/>
      <c r="F75" s="171"/>
      <c r="G75" s="191"/>
      <c r="H75" s="172">
        <f t="shared" si="8"/>
        <v>0</v>
      </c>
      <c r="I75" s="172">
        <f t="shared" si="9"/>
        <v>0</v>
      </c>
      <c r="J75" s="230">
        <f>H75/SUM($H$65:$H$78)</f>
        <v>0</v>
      </c>
      <c r="K75" s="230">
        <f>I75/SUM($I$65:$I$78)</f>
        <v>0</v>
      </c>
      <c r="L75" s="157"/>
    </row>
    <row r="76" s="28" customFormat="1" customHeight="1" spans="1:12">
      <c r="A76" s="174"/>
      <c r="B76" s="175"/>
      <c r="C76" s="223" t="s">
        <v>142</v>
      </c>
      <c r="D76" s="171"/>
      <c r="E76" s="191"/>
      <c r="F76" s="171"/>
      <c r="G76" s="191"/>
      <c r="H76" s="172">
        <f t="shared" si="8"/>
        <v>0</v>
      </c>
      <c r="I76" s="172">
        <f t="shared" si="9"/>
        <v>0</v>
      </c>
      <c r="J76" s="230">
        <f>H76/SUM($H$65:$H$78)</f>
        <v>0</v>
      </c>
      <c r="K76" s="230">
        <f>I76/SUM($I$65:$I$78)</f>
        <v>0</v>
      </c>
      <c r="L76" s="157"/>
    </row>
    <row r="77" s="28" customFormat="1" customHeight="1" spans="1:12">
      <c r="A77" s="174"/>
      <c r="B77" s="175"/>
      <c r="C77" s="223" t="s">
        <v>158</v>
      </c>
      <c r="D77" s="171">
        <v>2838</v>
      </c>
      <c r="E77" s="191">
        <v>319.41</v>
      </c>
      <c r="F77" s="171">
        <v>4098</v>
      </c>
      <c r="G77" s="191">
        <v>391.37</v>
      </c>
      <c r="H77" s="172">
        <f t="shared" si="8"/>
        <v>6936</v>
      </c>
      <c r="I77" s="172">
        <f t="shared" si="9"/>
        <v>710.78</v>
      </c>
      <c r="J77" s="230">
        <f>H77/SUM($H$65:$H$78)</f>
        <v>0.35620377978636</v>
      </c>
      <c r="K77" s="230">
        <f>I77/SUM($I$65:$I$78)</f>
        <v>0.0106059355816023</v>
      </c>
      <c r="L77" s="157"/>
    </row>
    <row r="78" s="28" customFormat="1" customHeight="1" spans="1:12">
      <c r="A78" s="174"/>
      <c r="B78" s="175"/>
      <c r="C78" s="231" t="s">
        <v>137</v>
      </c>
      <c r="D78" s="171"/>
      <c r="E78" s="191"/>
      <c r="F78" s="171"/>
      <c r="G78" s="191"/>
      <c r="H78" s="172">
        <f t="shared" si="8"/>
        <v>0</v>
      </c>
      <c r="I78" s="172">
        <f t="shared" si="9"/>
        <v>0</v>
      </c>
      <c r="J78" s="230">
        <f>H78/SUM($H$65:$H$78)</f>
        <v>0</v>
      </c>
      <c r="K78" s="230">
        <f>I78/SUM($I$65:$I$78)</f>
        <v>0</v>
      </c>
      <c r="L78" s="157"/>
    </row>
    <row r="79" s="28" customFormat="1" customHeight="1" spans="1:12">
      <c r="A79" s="174"/>
      <c r="B79" s="232" t="s">
        <v>36</v>
      </c>
      <c r="C79" s="231" t="s">
        <v>121</v>
      </c>
      <c r="D79" s="171">
        <f>1039</f>
        <v>1039</v>
      </c>
      <c r="E79" s="191">
        <f>4757.57</f>
        <v>4757.57</v>
      </c>
      <c r="F79" s="171">
        <v>1179</v>
      </c>
      <c r="G79" s="191">
        <v>5529.75</v>
      </c>
      <c r="H79" s="172">
        <f t="shared" ref="H79:H110" si="12">D79+F79</f>
        <v>2218</v>
      </c>
      <c r="I79" s="172">
        <f t="shared" ref="I79:I110" si="13">E79+G79</f>
        <v>10287.32</v>
      </c>
      <c r="J79" s="218">
        <f>H79/SUM($H$79:$H$94)</f>
        <v>0.06246831521433</v>
      </c>
      <c r="K79" s="218">
        <f>I79/SUM($I$79:$I$94)</f>
        <v>0.0943348057920705</v>
      </c>
      <c r="L79" s="157"/>
    </row>
    <row r="80" s="28" customFormat="1" customHeight="1" spans="1:12">
      <c r="A80" s="174"/>
      <c r="B80" s="233"/>
      <c r="C80" s="231" t="s">
        <v>122</v>
      </c>
      <c r="D80" s="171">
        <f>805+69</f>
        <v>874</v>
      </c>
      <c r="E80" s="191">
        <f>5384.14+514.38</f>
        <v>5898.52</v>
      </c>
      <c r="F80" s="171">
        <v>1075</v>
      </c>
      <c r="G80" s="191">
        <v>7065.41</v>
      </c>
      <c r="H80" s="172">
        <f t="shared" si="12"/>
        <v>1949</v>
      </c>
      <c r="I80" s="172">
        <f t="shared" si="13"/>
        <v>12963.93</v>
      </c>
      <c r="J80" s="218">
        <f>H80/SUM($H$79:$H$94)</f>
        <v>0.0548921309074523</v>
      </c>
      <c r="K80" s="218">
        <f>I80/SUM($I$79:$I$94)</f>
        <v>0.118879340669095</v>
      </c>
      <c r="L80" s="157"/>
    </row>
    <row r="81" s="28" customFormat="1" customHeight="1" spans="1:12">
      <c r="A81" s="174"/>
      <c r="B81" s="233"/>
      <c r="C81" s="231" t="s">
        <v>166</v>
      </c>
      <c r="D81" s="171">
        <f>1229+125+40</f>
        <v>1394</v>
      </c>
      <c r="E81" s="191">
        <f>2411.46+244.7+77.4</f>
        <v>2733.56</v>
      </c>
      <c r="F81" s="171">
        <v>1555</v>
      </c>
      <c r="G81" s="191">
        <v>3080.1</v>
      </c>
      <c r="H81" s="172">
        <f t="shared" si="12"/>
        <v>2949</v>
      </c>
      <c r="I81" s="172">
        <f t="shared" si="13"/>
        <v>5813.66</v>
      </c>
      <c r="J81" s="218">
        <f>H81/SUM($H$79:$H$94)</f>
        <v>0.0830563848363657</v>
      </c>
      <c r="K81" s="218">
        <f>I81/SUM($I$79:$I$94)</f>
        <v>0.0533113081969967</v>
      </c>
      <c r="L81" s="157"/>
    </row>
    <row r="82" s="28" customFormat="1" customHeight="1" spans="1:12">
      <c r="A82" s="174"/>
      <c r="B82" s="233"/>
      <c r="C82" s="231" t="s">
        <v>120</v>
      </c>
      <c r="D82" s="171">
        <f>4944</f>
        <v>4944</v>
      </c>
      <c r="E82" s="191">
        <f>6616.92</f>
        <v>6616.92</v>
      </c>
      <c r="F82" s="171">
        <v>5320</v>
      </c>
      <c r="G82" s="191">
        <v>7276.44</v>
      </c>
      <c r="H82" s="172">
        <f t="shared" si="12"/>
        <v>10264</v>
      </c>
      <c r="I82" s="172">
        <f t="shared" si="13"/>
        <v>13893.36</v>
      </c>
      <c r="J82" s="218">
        <f>H82/SUM($H$79:$H$94)</f>
        <v>0.289077902326367</v>
      </c>
      <c r="K82" s="218">
        <f>I82/SUM($I$79:$I$94)</f>
        <v>0.127402221122636</v>
      </c>
      <c r="L82" s="157"/>
    </row>
    <row r="83" s="28" customFormat="1" customHeight="1" spans="1:12">
      <c r="A83" s="174"/>
      <c r="B83" s="233"/>
      <c r="C83" s="231" t="s">
        <v>126</v>
      </c>
      <c r="D83" s="171">
        <f>365</f>
        <v>365</v>
      </c>
      <c r="E83" s="191">
        <f>2960.75</f>
        <v>2960.75</v>
      </c>
      <c r="F83" s="171">
        <v>556</v>
      </c>
      <c r="G83" s="191">
        <v>4211.86</v>
      </c>
      <c r="H83" s="172">
        <f t="shared" si="12"/>
        <v>921</v>
      </c>
      <c r="I83" s="172">
        <f t="shared" si="13"/>
        <v>7172.61</v>
      </c>
      <c r="J83" s="218">
        <f>H83/SUM($H$79:$H$94)</f>
        <v>0.0259392778685293</v>
      </c>
      <c r="K83" s="218">
        <f>I83/SUM($I$79:$I$94)</f>
        <v>0.0657728904488499</v>
      </c>
      <c r="L83" s="157"/>
    </row>
    <row r="84" s="28" customFormat="1" customHeight="1" spans="1:12">
      <c r="A84" s="174"/>
      <c r="B84" s="233"/>
      <c r="C84" s="231" t="s">
        <v>167</v>
      </c>
      <c r="D84" s="171">
        <f>536+670+10</f>
        <v>1216</v>
      </c>
      <c r="E84" s="191">
        <f>6089.9+8392.28+153.02</f>
        <v>14635.2</v>
      </c>
      <c r="F84" s="171">
        <v>1287</v>
      </c>
      <c r="G84" s="191">
        <v>15226.98</v>
      </c>
      <c r="H84" s="172">
        <f t="shared" si="12"/>
        <v>2503</v>
      </c>
      <c r="I84" s="172">
        <f t="shared" si="13"/>
        <v>29862.18</v>
      </c>
      <c r="J84" s="218">
        <f>H84/SUM($H$79:$H$94)</f>
        <v>0.0704951275840703</v>
      </c>
      <c r="K84" s="218">
        <f>I84/SUM($I$79:$I$94)</f>
        <v>0.273836426866069</v>
      </c>
      <c r="L84" s="157"/>
    </row>
    <row r="85" s="28" customFormat="1" customHeight="1" spans="1:12">
      <c r="A85" s="174"/>
      <c r="B85" s="233"/>
      <c r="C85" s="231" t="s">
        <v>168</v>
      </c>
      <c r="D85" s="171"/>
      <c r="E85" s="191"/>
      <c r="F85" s="171"/>
      <c r="G85" s="191"/>
      <c r="H85" s="172">
        <f t="shared" si="12"/>
        <v>0</v>
      </c>
      <c r="I85" s="172">
        <f t="shared" si="13"/>
        <v>0</v>
      </c>
      <c r="J85" s="218">
        <f>H85/SUM($H$79:$H$94)</f>
        <v>0</v>
      </c>
      <c r="K85" s="218">
        <f>I85/SUM($I$79:$I$94)</f>
        <v>0</v>
      </c>
      <c r="L85" s="157"/>
    </row>
    <row r="86" s="28" customFormat="1" customHeight="1" spans="1:12">
      <c r="A86" s="174"/>
      <c r="B86" s="233"/>
      <c r="C86" s="231" t="s">
        <v>133</v>
      </c>
      <c r="D86" s="171">
        <f>20</f>
        <v>20</v>
      </c>
      <c r="E86" s="191">
        <f>203.03</f>
        <v>203.03</v>
      </c>
      <c r="F86" s="171">
        <v>148</v>
      </c>
      <c r="G86" s="191">
        <v>1546.62</v>
      </c>
      <c r="H86" s="172">
        <f t="shared" si="12"/>
        <v>168</v>
      </c>
      <c r="I86" s="172">
        <f t="shared" si="13"/>
        <v>1749.65</v>
      </c>
      <c r="J86" s="218">
        <f>H86/SUM($H$79:$H$94)</f>
        <v>0.00473159466005746</v>
      </c>
      <c r="K86" s="218">
        <f>I86/SUM($I$79:$I$94)</f>
        <v>0.0160443043430258</v>
      </c>
      <c r="L86" s="157"/>
    </row>
    <row r="87" s="28" customFormat="1" customHeight="1" spans="1:12">
      <c r="A87" s="174"/>
      <c r="B87" s="233"/>
      <c r="C87" s="231" t="s">
        <v>129</v>
      </c>
      <c r="D87" s="171">
        <f>42</f>
        <v>42</v>
      </c>
      <c r="E87" s="191">
        <f>218.1</f>
        <v>218.1</v>
      </c>
      <c r="F87" s="171">
        <v>29</v>
      </c>
      <c r="G87" s="191">
        <v>162.94</v>
      </c>
      <c r="H87" s="172">
        <f t="shared" si="12"/>
        <v>71</v>
      </c>
      <c r="I87" s="172">
        <f t="shared" si="13"/>
        <v>381.04</v>
      </c>
      <c r="J87" s="218">
        <f>H87/SUM($H$79:$H$94)</f>
        <v>0.00199966202895285</v>
      </c>
      <c r="K87" s="218">
        <f>I87/SUM($I$79:$I$94)</f>
        <v>0.00349413981474383</v>
      </c>
      <c r="L87" s="157"/>
    </row>
    <row r="88" s="28" customFormat="1" customHeight="1" spans="1:12">
      <c r="A88" s="174"/>
      <c r="B88" s="233"/>
      <c r="C88" s="231" t="s">
        <v>151</v>
      </c>
      <c r="D88" s="171">
        <f>665</f>
        <v>665</v>
      </c>
      <c r="E88" s="191">
        <f>7307.37</f>
        <v>7307.37</v>
      </c>
      <c r="F88" s="171">
        <v>1860</v>
      </c>
      <c r="G88" s="191">
        <v>16502.94</v>
      </c>
      <c r="H88" s="172">
        <f t="shared" si="12"/>
        <v>2525</v>
      </c>
      <c r="I88" s="172">
        <f t="shared" si="13"/>
        <v>23810.31</v>
      </c>
      <c r="J88" s="218">
        <f>H88/SUM($H$79:$H$94)</f>
        <v>0.0711147411705064</v>
      </c>
      <c r="K88" s="218">
        <f>I88/SUM($I$79:$I$94)</f>
        <v>0.218340731084383</v>
      </c>
      <c r="L88" s="157"/>
    </row>
    <row r="89" s="28" customFormat="1" customHeight="1" spans="1:12">
      <c r="A89" s="174"/>
      <c r="B89" s="233"/>
      <c r="C89" s="231" t="s">
        <v>169</v>
      </c>
      <c r="D89" s="234">
        <f>208</f>
        <v>208</v>
      </c>
      <c r="E89" s="191">
        <f>838.76</f>
        <v>838.76</v>
      </c>
      <c r="F89" s="171">
        <v>368</v>
      </c>
      <c r="G89" s="191">
        <v>1553.28</v>
      </c>
      <c r="H89" s="172">
        <f t="shared" si="12"/>
        <v>576</v>
      </c>
      <c r="I89" s="172">
        <f t="shared" si="13"/>
        <v>2392.04</v>
      </c>
      <c r="J89" s="218">
        <f>H89/SUM($H$79:$H$94)</f>
        <v>0.0162226102630541</v>
      </c>
      <c r="K89" s="218">
        <f>I89/SUM($I$79:$I$94)</f>
        <v>0.0219350257255402</v>
      </c>
      <c r="L89" s="157"/>
    </row>
    <row r="90" s="28" customFormat="1" customHeight="1" spans="1:12">
      <c r="A90" s="174"/>
      <c r="B90" s="233"/>
      <c r="C90" s="235" t="s">
        <v>128</v>
      </c>
      <c r="D90" s="234"/>
      <c r="E90" s="191"/>
      <c r="F90" s="171"/>
      <c r="G90" s="191"/>
      <c r="H90" s="172">
        <f t="shared" si="12"/>
        <v>0</v>
      </c>
      <c r="I90" s="172">
        <f t="shared" si="13"/>
        <v>0</v>
      </c>
      <c r="J90" s="218">
        <f>H90/SUM($H$79:$H$94)</f>
        <v>0</v>
      </c>
      <c r="K90" s="218">
        <f>I90/SUM($I$79:$I$94)</f>
        <v>0</v>
      </c>
      <c r="L90" s="157"/>
    </row>
    <row r="91" s="28" customFormat="1" customHeight="1" spans="1:12">
      <c r="A91" s="174"/>
      <c r="B91" s="233"/>
      <c r="C91" s="235" t="s">
        <v>170</v>
      </c>
      <c r="D91" s="234"/>
      <c r="E91" s="191"/>
      <c r="F91" s="171"/>
      <c r="G91" s="191"/>
      <c r="H91" s="172">
        <f t="shared" si="12"/>
        <v>0</v>
      </c>
      <c r="I91" s="172">
        <f t="shared" si="13"/>
        <v>0</v>
      </c>
      <c r="J91" s="218">
        <f>H91/SUM($H$79:$H$94)</f>
        <v>0</v>
      </c>
      <c r="K91" s="218">
        <f>I91/SUM($I$79:$I$94)</f>
        <v>0</v>
      </c>
      <c r="L91" s="157"/>
    </row>
    <row r="92" s="28" customFormat="1" customHeight="1" spans="1:12">
      <c r="A92" s="174"/>
      <c r="B92" s="233"/>
      <c r="C92" s="235" t="s">
        <v>136</v>
      </c>
      <c r="D92" s="234">
        <f>2972+2283</f>
        <v>5255</v>
      </c>
      <c r="E92" s="191">
        <f>145.28+161.15</f>
        <v>306.43</v>
      </c>
      <c r="F92" s="171">
        <v>6107</v>
      </c>
      <c r="G92" s="191">
        <v>418.63</v>
      </c>
      <c r="H92" s="172">
        <f t="shared" si="12"/>
        <v>11362</v>
      </c>
      <c r="I92" s="172">
        <f t="shared" si="13"/>
        <v>725.06</v>
      </c>
      <c r="J92" s="218">
        <f>H92/SUM($H$79:$H$94)</f>
        <v>0.320002253140314</v>
      </c>
      <c r="K92" s="218">
        <f>I92/SUM($I$79:$I$94)</f>
        <v>0.00664880593658976</v>
      </c>
      <c r="L92" s="157"/>
    </row>
    <row r="93" s="28" customFormat="1" customHeight="1" spans="1:12">
      <c r="A93" s="174"/>
      <c r="B93" s="233"/>
      <c r="C93" s="235" t="s">
        <v>171</v>
      </c>
      <c r="D93" s="171"/>
      <c r="E93" s="191"/>
      <c r="F93" s="171"/>
      <c r="G93" s="191"/>
      <c r="H93" s="172">
        <f t="shared" si="12"/>
        <v>0</v>
      </c>
      <c r="I93" s="172">
        <f t="shared" si="13"/>
        <v>0</v>
      </c>
      <c r="J93" s="218">
        <f>H93/SUM($H$79:$H$94)</f>
        <v>0</v>
      </c>
      <c r="K93" s="218">
        <f>I93/SUM($I$79:$I$94)</f>
        <v>0</v>
      </c>
      <c r="L93" s="157"/>
    </row>
    <row r="94" s="28" customFormat="1" customHeight="1" spans="1:12">
      <c r="A94" s="174"/>
      <c r="B94" s="233"/>
      <c r="C94" s="235" t="s">
        <v>137</v>
      </c>
      <c r="D94" s="234"/>
      <c r="E94" s="234"/>
      <c r="F94" s="171"/>
      <c r="G94" s="191"/>
      <c r="H94" s="172">
        <f t="shared" si="12"/>
        <v>0</v>
      </c>
      <c r="I94" s="172">
        <f t="shared" si="13"/>
        <v>0</v>
      </c>
      <c r="J94" s="218">
        <f>H94/SUM($H$79:$H$94)</f>
        <v>0</v>
      </c>
      <c r="K94" s="218">
        <f>I94/SUM($I$79:$I$94)</f>
        <v>0</v>
      </c>
      <c r="L94" s="157"/>
    </row>
    <row r="95" s="28" customFormat="1" customHeight="1" spans="1:12">
      <c r="A95" s="236" t="s">
        <v>172</v>
      </c>
      <c r="B95" s="169" t="s">
        <v>173</v>
      </c>
      <c r="C95" s="235" t="s">
        <v>121</v>
      </c>
      <c r="D95" s="234">
        <f>1430</f>
        <v>1430</v>
      </c>
      <c r="E95" s="234">
        <f>7622.85</f>
        <v>7622.85</v>
      </c>
      <c r="F95" s="171">
        <v>1753</v>
      </c>
      <c r="G95" s="191">
        <v>8990.72</v>
      </c>
      <c r="H95" s="172">
        <f t="shared" si="12"/>
        <v>3183</v>
      </c>
      <c r="I95" s="172">
        <f t="shared" si="13"/>
        <v>16613.57</v>
      </c>
      <c r="J95" s="192">
        <f>H95/SUM($H$95:$H$113)</f>
        <v>0.0858229076790337</v>
      </c>
      <c r="K95" s="192">
        <f>I95/SUM($I$95:$I$113)</f>
        <v>0.130988344227103</v>
      </c>
      <c r="L95" s="157"/>
    </row>
    <row r="96" s="28" customFormat="1" customHeight="1" spans="1:12">
      <c r="A96" s="236"/>
      <c r="B96" s="175"/>
      <c r="C96" s="235" t="s">
        <v>122</v>
      </c>
      <c r="D96" s="234">
        <f>1166+1</f>
        <v>1167</v>
      </c>
      <c r="E96" s="234">
        <f>8796.14+7.14</f>
        <v>8803.28</v>
      </c>
      <c r="F96" s="171">
        <v>1433</v>
      </c>
      <c r="G96" s="191">
        <v>10539.47</v>
      </c>
      <c r="H96" s="172">
        <f t="shared" si="12"/>
        <v>2600</v>
      </c>
      <c r="I96" s="172">
        <f t="shared" si="13"/>
        <v>19342.75</v>
      </c>
      <c r="J96" s="192">
        <f>H96/SUM($H$95:$H$113)</f>
        <v>0.0701035375323555</v>
      </c>
      <c r="K96" s="192">
        <f>I96/SUM($I$95:$I$113)</f>
        <v>0.152506342423621</v>
      </c>
      <c r="L96" s="157"/>
    </row>
    <row r="97" s="28" customFormat="1" customHeight="1" spans="1:12">
      <c r="A97" s="236"/>
      <c r="B97" s="175"/>
      <c r="C97" s="235" t="s">
        <v>174</v>
      </c>
      <c r="D97" s="234">
        <f>43</f>
        <v>43</v>
      </c>
      <c r="E97" s="234">
        <f>236.68</f>
        <v>236.68</v>
      </c>
      <c r="F97" s="171">
        <v>141</v>
      </c>
      <c r="G97" s="191">
        <v>765.18</v>
      </c>
      <c r="H97" s="172">
        <f t="shared" si="12"/>
        <v>184</v>
      </c>
      <c r="I97" s="172">
        <f t="shared" si="13"/>
        <v>1001.86</v>
      </c>
      <c r="J97" s="192">
        <f>H97/SUM($H$95:$H$113)</f>
        <v>0.0049611734253667</v>
      </c>
      <c r="K97" s="192">
        <f>I97/SUM($I$95:$I$113)</f>
        <v>0.00789908385418461</v>
      </c>
      <c r="L97" s="157"/>
    </row>
    <row r="98" s="28" customFormat="1" customHeight="1" spans="1:12">
      <c r="A98" s="236"/>
      <c r="B98" s="175"/>
      <c r="C98" s="235" t="s">
        <v>133</v>
      </c>
      <c r="D98" s="234"/>
      <c r="E98" s="234"/>
      <c r="F98" s="171"/>
      <c r="G98" s="191"/>
      <c r="H98" s="172">
        <f t="shared" si="12"/>
        <v>0</v>
      </c>
      <c r="I98" s="172">
        <f t="shared" si="13"/>
        <v>0</v>
      </c>
      <c r="J98" s="192">
        <f>H98/SUM($H$95:$H$113)</f>
        <v>0</v>
      </c>
      <c r="K98" s="192">
        <f>I98/SUM($I$95:$I$113)</f>
        <v>0</v>
      </c>
      <c r="L98" s="157"/>
    </row>
    <row r="99" s="28" customFormat="1" customHeight="1" spans="1:12">
      <c r="A99" s="236"/>
      <c r="B99" s="175"/>
      <c r="C99" s="235" t="s">
        <v>125</v>
      </c>
      <c r="D99" s="234">
        <f>96</f>
        <v>96</v>
      </c>
      <c r="E99" s="234">
        <f>241.8</f>
        <v>241.8</v>
      </c>
      <c r="F99" s="171">
        <v>133</v>
      </c>
      <c r="G99" s="191">
        <v>306.6</v>
      </c>
      <c r="H99" s="172">
        <f t="shared" si="12"/>
        <v>229</v>
      </c>
      <c r="I99" s="172">
        <f t="shared" si="13"/>
        <v>548.4</v>
      </c>
      <c r="J99" s="192">
        <f>H99/SUM($H$95:$H$113)</f>
        <v>0.00617450388265746</v>
      </c>
      <c r="K99" s="192">
        <f>I99/SUM($I$95:$I$113)</f>
        <v>0.00432381528919694</v>
      </c>
      <c r="L99" s="157"/>
    </row>
    <row r="100" s="28" customFormat="1" customHeight="1" spans="1:12">
      <c r="A100" s="236"/>
      <c r="B100" s="175"/>
      <c r="C100" s="235" t="s">
        <v>175</v>
      </c>
      <c r="D100" s="234"/>
      <c r="E100" s="234"/>
      <c r="F100" s="171"/>
      <c r="G100" s="191"/>
      <c r="H100" s="172">
        <f t="shared" si="12"/>
        <v>0</v>
      </c>
      <c r="I100" s="172">
        <f t="shared" si="13"/>
        <v>0</v>
      </c>
      <c r="J100" s="192">
        <f>H100/SUM($H$95:$H$113)</f>
        <v>0</v>
      </c>
      <c r="K100" s="192">
        <f>I100/SUM($I$95:$I$113)</f>
        <v>0</v>
      </c>
      <c r="L100" s="157"/>
    </row>
    <row r="101" s="28" customFormat="1" customHeight="1" spans="1:12">
      <c r="A101" s="236"/>
      <c r="B101" s="175"/>
      <c r="C101" s="235" t="s">
        <v>120</v>
      </c>
      <c r="D101" s="234">
        <f>5215</f>
        <v>5215</v>
      </c>
      <c r="E101" s="234">
        <f>7334.08</f>
        <v>7334.08</v>
      </c>
      <c r="F101" s="171">
        <v>6953</v>
      </c>
      <c r="G101" s="191">
        <v>9169.2</v>
      </c>
      <c r="H101" s="172">
        <f t="shared" si="12"/>
        <v>12168</v>
      </c>
      <c r="I101" s="172">
        <f t="shared" si="13"/>
        <v>16503.28</v>
      </c>
      <c r="J101" s="192">
        <f>H101/SUM($H$95:$H$113)</f>
        <v>0.328084555651424</v>
      </c>
      <c r="K101" s="192">
        <f>I101/SUM($I$95:$I$113)</f>
        <v>0.130118771673775</v>
      </c>
      <c r="L101" s="157"/>
    </row>
    <row r="102" s="28" customFormat="1" customHeight="1" spans="1:12">
      <c r="A102" s="236"/>
      <c r="B102" s="175"/>
      <c r="C102" s="235" t="s">
        <v>129</v>
      </c>
      <c r="D102" s="234">
        <f>62</f>
        <v>62</v>
      </c>
      <c r="E102" s="234">
        <f>413.02</f>
        <v>413.02</v>
      </c>
      <c r="F102" s="171">
        <v>61</v>
      </c>
      <c r="G102" s="191">
        <v>370.33</v>
      </c>
      <c r="H102" s="172">
        <f t="shared" si="12"/>
        <v>123</v>
      </c>
      <c r="I102" s="172">
        <f t="shared" si="13"/>
        <v>783.35</v>
      </c>
      <c r="J102" s="192">
        <f>H102/SUM($H$95:$H$113)</f>
        <v>0.00331643658326143</v>
      </c>
      <c r="K102" s="192">
        <f>I102/SUM($I$95:$I$113)</f>
        <v>0.00617625949451572</v>
      </c>
      <c r="L102" s="157"/>
    </row>
    <row r="103" s="28" customFormat="1" customHeight="1" spans="1:12">
      <c r="A103" s="236"/>
      <c r="B103" s="175"/>
      <c r="C103" s="235" t="s">
        <v>128</v>
      </c>
      <c r="D103" s="234"/>
      <c r="E103" s="234"/>
      <c r="F103" s="171"/>
      <c r="G103" s="191"/>
      <c r="H103" s="172">
        <f t="shared" si="12"/>
        <v>0</v>
      </c>
      <c r="I103" s="172">
        <f t="shared" si="13"/>
        <v>0</v>
      </c>
      <c r="J103" s="192">
        <f>H103/SUM($H$95:$H$113)</f>
        <v>0</v>
      </c>
      <c r="K103" s="192">
        <f>I103/SUM($I$95:$I$113)</f>
        <v>0</v>
      </c>
      <c r="L103" s="157"/>
    </row>
    <row r="104" s="28" customFormat="1" customHeight="1" spans="1:12">
      <c r="A104" s="236"/>
      <c r="B104" s="175"/>
      <c r="C104" s="235" t="s">
        <v>141</v>
      </c>
      <c r="D104" s="234">
        <f>767+7+116+79</f>
        <v>969</v>
      </c>
      <c r="E104" s="234">
        <f>8728.79+70+763.68+1083.49</f>
        <v>10645.96</v>
      </c>
      <c r="F104" s="171">
        <v>1922</v>
      </c>
      <c r="G104" s="191">
        <v>17970.51</v>
      </c>
      <c r="H104" s="172">
        <f t="shared" si="12"/>
        <v>2891</v>
      </c>
      <c r="I104" s="172">
        <f t="shared" si="13"/>
        <v>28616.47</v>
      </c>
      <c r="J104" s="192">
        <f>H104/SUM($H$95:$H$113)</f>
        <v>0.0779497411561691</v>
      </c>
      <c r="K104" s="192">
        <f>I104/SUM($I$95:$I$113)</f>
        <v>0.22562423506354</v>
      </c>
      <c r="L104" s="157"/>
    </row>
    <row r="105" s="28" customFormat="1" customHeight="1" spans="1:12">
      <c r="A105" s="236"/>
      <c r="B105" s="175"/>
      <c r="C105" s="235" t="s">
        <v>130</v>
      </c>
      <c r="D105" s="234">
        <f>1027</f>
        <v>1027</v>
      </c>
      <c r="E105" s="234">
        <f>11401.22</f>
        <v>11401.22</v>
      </c>
      <c r="F105" s="171">
        <v>1847</v>
      </c>
      <c r="G105" s="191">
        <v>20464.93</v>
      </c>
      <c r="H105" s="172">
        <f t="shared" si="12"/>
        <v>2874</v>
      </c>
      <c r="I105" s="172">
        <f t="shared" si="13"/>
        <v>31866.15</v>
      </c>
      <c r="J105" s="192">
        <f>H105/SUM($H$95:$H$113)</f>
        <v>0.0774913718723037</v>
      </c>
      <c r="K105" s="192">
        <f>I105/SUM($I$95:$I$113)</f>
        <v>0.251246073263754</v>
      </c>
      <c r="L105" s="157"/>
    </row>
    <row r="106" s="28" customFormat="1" customHeight="1" spans="1:12">
      <c r="A106" s="236"/>
      <c r="B106" s="175"/>
      <c r="C106" s="235" t="s">
        <v>146</v>
      </c>
      <c r="D106" s="234">
        <f>1481</f>
        <v>1481</v>
      </c>
      <c r="E106" s="234">
        <f>3196.09</f>
        <v>3196.09</v>
      </c>
      <c r="F106" s="171">
        <v>1887</v>
      </c>
      <c r="G106" s="191">
        <v>3954.94</v>
      </c>
      <c r="H106" s="172">
        <f t="shared" si="12"/>
        <v>3368</v>
      </c>
      <c r="I106" s="172">
        <f t="shared" si="13"/>
        <v>7151.03</v>
      </c>
      <c r="J106" s="192">
        <f>H106/SUM($H$95:$H$113)</f>
        <v>0.0908110440034512</v>
      </c>
      <c r="K106" s="192">
        <f>I106/SUM($I$95:$I$113)</f>
        <v>0.0563817156227315</v>
      </c>
      <c r="L106" s="157"/>
    </row>
    <row r="107" s="28" customFormat="1" customHeight="1" spans="1:12">
      <c r="A107" s="236"/>
      <c r="B107" s="175"/>
      <c r="C107" s="235" t="s">
        <v>176</v>
      </c>
      <c r="D107" s="234"/>
      <c r="E107" s="234"/>
      <c r="F107" s="171"/>
      <c r="G107" s="191"/>
      <c r="H107" s="172">
        <f t="shared" si="12"/>
        <v>0</v>
      </c>
      <c r="I107" s="172">
        <f t="shared" si="13"/>
        <v>0</v>
      </c>
      <c r="J107" s="192">
        <f>H107/SUM($H$95:$H$113)</f>
        <v>0</v>
      </c>
      <c r="K107" s="192">
        <f>I107/SUM($I$95:$I$113)</f>
        <v>0</v>
      </c>
      <c r="L107" s="157"/>
    </row>
    <row r="108" s="28" customFormat="1" customHeight="1" spans="1:12">
      <c r="A108" s="236"/>
      <c r="B108" s="175"/>
      <c r="C108" s="235" t="s">
        <v>126</v>
      </c>
      <c r="D108" s="234"/>
      <c r="E108" s="234"/>
      <c r="F108" s="171">
        <v>211</v>
      </c>
      <c r="G108" s="191">
        <v>1896.35</v>
      </c>
      <c r="H108" s="172">
        <f t="shared" si="12"/>
        <v>211</v>
      </c>
      <c r="I108" s="172">
        <f t="shared" si="13"/>
        <v>1896.35</v>
      </c>
      <c r="J108" s="192">
        <f>H108/SUM($H$95:$H$113)</f>
        <v>0.00568917169974116</v>
      </c>
      <c r="K108" s="192">
        <f>I108/SUM($I$95:$I$113)</f>
        <v>0.014951617658039</v>
      </c>
      <c r="L108" s="157"/>
    </row>
    <row r="109" s="28" customFormat="1" customHeight="1" spans="1:12">
      <c r="A109" s="236"/>
      <c r="B109" s="175"/>
      <c r="C109" s="235" t="s">
        <v>168</v>
      </c>
      <c r="D109" s="234">
        <f>282</f>
        <v>282</v>
      </c>
      <c r="E109" s="234">
        <f>1700.42</f>
        <v>1700.42</v>
      </c>
      <c r="F109" s="171">
        <v>2</v>
      </c>
      <c r="G109" s="191">
        <v>12.92</v>
      </c>
      <c r="H109" s="172">
        <f t="shared" si="12"/>
        <v>284</v>
      </c>
      <c r="I109" s="172">
        <f t="shared" si="13"/>
        <v>1713.34</v>
      </c>
      <c r="J109" s="192">
        <f>H109/SUM($H$95:$H$113)</f>
        <v>0.00765746333045729</v>
      </c>
      <c r="K109" s="192">
        <f>I109/SUM($I$95:$I$113)</f>
        <v>0.013508690167018</v>
      </c>
      <c r="L109" s="157"/>
    </row>
    <row r="110" s="28" customFormat="1" customHeight="1" spans="1:12">
      <c r="A110" s="236"/>
      <c r="B110" s="175"/>
      <c r="C110" s="235" t="s">
        <v>177</v>
      </c>
      <c r="D110" s="234"/>
      <c r="E110" s="234"/>
      <c r="F110" s="171"/>
      <c r="G110" s="191"/>
      <c r="H110" s="172">
        <f t="shared" si="12"/>
        <v>0</v>
      </c>
      <c r="I110" s="172">
        <f t="shared" si="13"/>
        <v>0</v>
      </c>
      <c r="J110" s="192">
        <f>H110/SUM($H$95:$H$113)</f>
        <v>0</v>
      </c>
      <c r="K110" s="192">
        <f>I110/SUM($I$95:$I$113)</f>
        <v>0</v>
      </c>
      <c r="L110" s="157"/>
    </row>
    <row r="111" s="28" customFormat="1" customHeight="1" spans="1:12">
      <c r="A111" s="236"/>
      <c r="B111" s="175"/>
      <c r="C111" s="235" t="s">
        <v>178</v>
      </c>
      <c r="D111" s="234">
        <f>4181</f>
        <v>4181</v>
      </c>
      <c r="E111" s="234">
        <f>400.34</f>
        <v>400.34</v>
      </c>
      <c r="F111" s="171">
        <v>4792</v>
      </c>
      <c r="G111" s="191">
        <v>395.54</v>
      </c>
      <c r="H111" s="172">
        <f>D111+F111</f>
        <v>8973</v>
      </c>
      <c r="I111" s="172">
        <f>E111+G111</f>
        <v>795.88</v>
      </c>
      <c r="J111" s="192">
        <f>H111/SUM($H$95:$H$113)</f>
        <v>0.241938093183779</v>
      </c>
      <c r="K111" s="192">
        <f>I111/SUM($I$95:$I$113)</f>
        <v>0.00627505126252016</v>
      </c>
      <c r="L111" s="157"/>
    </row>
    <row r="112" s="28" customFormat="1" customHeight="1" spans="1:12">
      <c r="A112" s="236"/>
      <c r="B112" s="175"/>
      <c r="C112" s="235" t="s">
        <v>179</v>
      </c>
      <c r="D112" s="234"/>
      <c r="E112" s="234"/>
      <c r="F112" s="171"/>
      <c r="G112" s="191"/>
      <c r="H112" s="172">
        <f>D112+F112</f>
        <v>0</v>
      </c>
      <c r="I112" s="172">
        <f>E112+G112</f>
        <v>0</v>
      </c>
      <c r="J112" s="192">
        <f>H112/SUM($H$95:$H$113)</f>
        <v>0</v>
      </c>
      <c r="K112" s="192">
        <f>I112/SUM($I$95:$I$113)</f>
        <v>0</v>
      </c>
      <c r="L112" s="157"/>
    </row>
    <row r="113" s="28" customFormat="1" customHeight="1" spans="1:12">
      <c r="A113" s="236"/>
      <c r="B113" s="175"/>
      <c r="C113" s="235" t="s">
        <v>137</v>
      </c>
      <c r="D113" s="171"/>
      <c r="E113" s="171"/>
      <c r="F113" s="171"/>
      <c r="G113" s="191"/>
      <c r="H113" s="172">
        <f>D113+F113</f>
        <v>0</v>
      </c>
      <c r="I113" s="172">
        <f>E113+G113</f>
        <v>0</v>
      </c>
      <c r="J113" s="192">
        <f>H113/SUM($H$95:$H$113)</f>
        <v>0</v>
      </c>
      <c r="K113" s="192">
        <f>I113/SUM($I$95:$I$113)</f>
        <v>0</v>
      </c>
      <c r="L113" s="157"/>
    </row>
    <row r="114" s="154" customFormat="1" ht="22.5" customHeight="1" spans="1:12">
      <c r="A114" s="237" t="s">
        <v>14</v>
      </c>
      <c r="B114" s="238"/>
      <c r="C114" s="239"/>
      <c r="D114" s="240">
        <f t="shared" ref="D114:I114" si="14">SUM(D4:D113)</f>
        <v>77644</v>
      </c>
      <c r="E114" s="240">
        <f t="shared" si="14"/>
        <v>233294.14</v>
      </c>
      <c r="F114" s="240">
        <f t="shared" si="14"/>
        <v>111817</v>
      </c>
      <c r="G114" s="240">
        <f t="shared" si="14"/>
        <v>375861.8</v>
      </c>
      <c r="H114" s="240">
        <f t="shared" si="14"/>
        <v>189461</v>
      </c>
      <c r="I114" s="240">
        <f t="shared" si="14"/>
        <v>609155.94</v>
      </c>
      <c r="J114" s="176"/>
      <c r="K114" s="176"/>
      <c r="L114" s="241"/>
    </row>
  </sheetData>
  <mergeCells count="20">
    <mergeCell ref="A1:I1"/>
    <mergeCell ref="D2:E2"/>
    <mergeCell ref="F2:G2"/>
    <mergeCell ref="H2:I2"/>
    <mergeCell ref="A2:A3"/>
    <mergeCell ref="A4:A63"/>
    <mergeCell ref="A65:A93"/>
    <mergeCell ref="A95:A113"/>
    <mergeCell ref="B2:B3"/>
    <mergeCell ref="B4:B13"/>
    <mergeCell ref="B14:B26"/>
    <mergeCell ref="B27:B39"/>
    <mergeCell ref="B40:B51"/>
    <mergeCell ref="B52:B64"/>
    <mergeCell ref="B65:B78"/>
    <mergeCell ref="B79:B94"/>
    <mergeCell ref="B95:B113"/>
    <mergeCell ref="C2:C3"/>
    <mergeCell ref="J2:J3"/>
    <mergeCell ref="K2:K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zoomScale="60" zoomScaleNormal="60" workbookViewId="0">
      <selection activeCell="AC12" sqref="AC12"/>
    </sheetView>
  </sheetViews>
  <sheetFormatPr defaultColWidth="9" defaultRowHeight="30" customHeight="1"/>
  <cols>
    <col min="2" max="2" width="14.9423076923077" customWidth="1"/>
    <col min="3" max="3" width="10.2019230769231" customWidth="1"/>
    <col min="4" max="4" width="9.06730769230769" customWidth="1"/>
    <col min="5" max="12" width="10.2019230769231" customWidth="1"/>
    <col min="13" max="13" width="9.43269230769231" customWidth="1"/>
    <col min="14" max="14" width="10.2019230769231" customWidth="1"/>
    <col min="15" max="16" width="11.4711538461538" customWidth="1"/>
  </cols>
  <sheetData>
    <row r="1" ht="41" customHeight="1" spans="2:16">
      <c r="B1" s="99" t="s">
        <v>187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</row>
    <row r="2" ht="14" customHeight="1" spans="2:16">
      <c r="B2" s="100" t="s">
        <v>1</v>
      </c>
      <c r="C2" s="101" t="s">
        <v>2</v>
      </c>
      <c r="D2" s="101" t="s">
        <v>3</v>
      </c>
      <c r="E2" s="101" t="s">
        <v>4</v>
      </c>
      <c r="F2" s="101" t="s">
        <v>5</v>
      </c>
      <c r="G2" s="102" t="s">
        <v>6</v>
      </c>
      <c r="H2" s="102" t="s">
        <v>7</v>
      </c>
      <c r="I2" s="102" t="s">
        <v>8</v>
      </c>
      <c r="J2" s="102" t="s">
        <v>9</v>
      </c>
      <c r="K2" s="102" t="s">
        <v>10</v>
      </c>
      <c r="L2" s="102" t="s">
        <v>11</v>
      </c>
      <c r="M2" s="102" t="s">
        <v>12</v>
      </c>
      <c r="N2" s="103" t="s">
        <v>13</v>
      </c>
      <c r="O2" s="104" t="s">
        <v>14</v>
      </c>
      <c r="P2" s="103" t="s">
        <v>188</v>
      </c>
    </row>
    <row r="3" ht="17" customHeight="1" spans="2:16">
      <c r="B3" s="105"/>
      <c r="C3" s="106"/>
      <c r="D3" s="106"/>
      <c r="E3" s="106"/>
      <c r="F3" s="106"/>
      <c r="G3" s="107"/>
      <c r="H3" s="107"/>
      <c r="I3" s="107"/>
      <c r="J3" s="107"/>
      <c r="K3" s="107"/>
      <c r="L3" s="107"/>
      <c r="M3" s="107"/>
      <c r="N3" s="108"/>
      <c r="O3" s="109"/>
      <c r="P3" s="108"/>
    </row>
    <row r="4" customHeight="1" spans="2:16">
      <c r="B4" s="110" t="s">
        <v>189</v>
      </c>
      <c r="C4" s="111" t="e">
        <f>#REF!</f>
        <v>#REF!</v>
      </c>
      <c r="D4" s="111" t="e">
        <f>#REF!</f>
        <v>#REF!</v>
      </c>
      <c r="E4" s="111" t="e">
        <f>#REF!</f>
        <v>#REF!</v>
      </c>
      <c r="F4" s="111" t="e">
        <f>#REF!</f>
        <v>#REF!</v>
      </c>
      <c r="G4" s="111" t="e">
        <f>#REF!</f>
        <v>#REF!</v>
      </c>
      <c r="H4" s="111" t="e">
        <f>#REF!</f>
        <v>#REF!</v>
      </c>
      <c r="I4" s="111" t="e">
        <f>#REF!</f>
        <v>#REF!</v>
      </c>
      <c r="J4" s="111" t="e">
        <f>#REF!</f>
        <v>#REF!</v>
      </c>
      <c r="K4" s="111" t="e">
        <f>#REF!</f>
        <v>#REF!</v>
      </c>
      <c r="L4" s="111" t="e">
        <f>#REF!</f>
        <v>#REF!</v>
      </c>
      <c r="M4" s="111" t="e">
        <f>#REF!</f>
        <v>#REF!</v>
      </c>
      <c r="N4" s="112" t="e">
        <f>#REF!</f>
        <v>#REF!</v>
      </c>
      <c r="O4" s="113" t="e">
        <f t="shared" ref="O4:O7" si="0">SUM(C4:N4)</f>
        <v>#REF!</v>
      </c>
      <c r="P4" s="112"/>
    </row>
    <row r="5" customHeight="1" spans="2:16">
      <c r="B5" s="110" t="s">
        <v>190</v>
      </c>
      <c r="C5" s="111" t="e">
        <f>#REF!</f>
        <v>#REF!</v>
      </c>
      <c r="D5" s="111" t="e">
        <f>#REF!</f>
        <v>#REF!</v>
      </c>
      <c r="E5" s="111" t="e">
        <f>#REF!</f>
        <v>#REF!</v>
      </c>
      <c r="F5" s="111" t="e">
        <f>#REF!</f>
        <v>#REF!</v>
      </c>
      <c r="G5" s="111" t="e">
        <f>#REF!</f>
        <v>#REF!</v>
      </c>
      <c r="H5" s="111" t="e">
        <f>#REF!</f>
        <v>#REF!</v>
      </c>
      <c r="I5" s="111" t="e">
        <f>#REF!</f>
        <v>#REF!</v>
      </c>
      <c r="J5" s="111" t="e">
        <f>#REF!</f>
        <v>#REF!</v>
      </c>
      <c r="K5" s="111" t="e">
        <f>#REF!</f>
        <v>#REF!</v>
      </c>
      <c r="L5" s="111" t="e">
        <f>#REF!</f>
        <v>#REF!</v>
      </c>
      <c r="M5" s="111" t="e">
        <f>#REF!</f>
        <v>#REF!</v>
      </c>
      <c r="N5" s="112" t="e">
        <f>#REF!</f>
        <v>#REF!</v>
      </c>
      <c r="O5" s="113" t="e">
        <f t="shared" si="0"/>
        <v>#REF!</v>
      </c>
      <c r="P5" s="112"/>
    </row>
    <row r="6" customHeight="1" spans="2:16">
      <c r="B6" s="110" t="s">
        <v>191</v>
      </c>
      <c r="C6" s="111" t="e">
        <f>#REF!</f>
        <v>#REF!</v>
      </c>
      <c r="D6" s="111" t="e">
        <f>#REF!</f>
        <v>#REF!</v>
      </c>
      <c r="E6" s="111" t="e">
        <f>#REF!</f>
        <v>#REF!</v>
      </c>
      <c r="F6" s="111" t="e">
        <f>#REF!</f>
        <v>#REF!</v>
      </c>
      <c r="G6" s="111" t="e">
        <f>#REF!</f>
        <v>#REF!</v>
      </c>
      <c r="H6" s="111" t="e">
        <f>#REF!</f>
        <v>#REF!</v>
      </c>
      <c r="I6" s="111" t="e">
        <f>#REF!</f>
        <v>#REF!</v>
      </c>
      <c r="J6" s="111" t="e">
        <f>#REF!</f>
        <v>#REF!</v>
      </c>
      <c r="K6" s="111" t="e">
        <f>#REF!</f>
        <v>#REF!</v>
      </c>
      <c r="L6" s="111" t="e">
        <f>#REF!</f>
        <v>#REF!</v>
      </c>
      <c r="M6" s="111" t="e">
        <f>#REF!</f>
        <v>#REF!</v>
      </c>
      <c r="N6" s="112" t="e">
        <f>#REF!</f>
        <v>#REF!</v>
      </c>
      <c r="O6" s="113" t="e">
        <f t="shared" si="0"/>
        <v>#REF!</v>
      </c>
      <c r="P6" s="112"/>
    </row>
    <row r="7" customHeight="1" spans="2:16">
      <c r="B7" s="114" t="s">
        <v>192</v>
      </c>
      <c r="C7" s="115">
        <f>'2025年老店营业额同比 环比分析'!C5</f>
        <v>11.681857</v>
      </c>
      <c r="D7" s="115">
        <f>'2025年老店营业额同比 环比分析'!D5</f>
        <v>11.45976</v>
      </c>
      <c r="E7" s="115">
        <f>'2025年老店营业额同比 环比分析'!E5</f>
        <v>12.30345</v>
      </c>
      <c r="F7" s="115">
        <f>'2025年老店营业额同比 环比分析'!F5</f>
        <v>12.014886</v>
      </c>
      <c r="G7" s="115">
        <f>'2025年老店营业额同比 环比分析'!G5</f>
        <v>12.863619</v>
      </c>
      <c r="H7" s="115">
        <f>'2025年老店营业额同比 环比分析'!H5</f>
        <v>10.867187</v>
      </c>
      <c r="I7" s="115">
        <f>'2025年老店营业额同比 环比分析'!I5</f>
        <v>13.239522</v>
      </c>
      <c r="J7" s="115">
        <f>'2025年老店营业额同比 环比分析'!J5</f>
        <v>11.106115</v>
      </c>
      <c r="K7" s="115">
        <f>'2025年老店营业额同比 环比分析'!K5</f>
        <v>10.347582</v>
      </c>
      <c r="L7" s="115">
        <f>'2025年老店营业额同比 环比分析'!L5</f>
        <v>10.414614</v>
      </c>
      <c r="M7" s="115">
        <f>'2025年老店营业额同比 环比分析'!M5</f>
        <v>11.215678</v>
      </c>
      <c r="N7" s="116">
        <f>'2025年老店营业额同比 环比分析'!N5</f>
        <v>14.90469</v>
      </c>
      <c r="O7" s="117">
        <f t="shared" si="0"/>
        <v>142.41896</v>
      </c>
      <c r="P7" s="116"/>
    </row>
    <row r="8" ht="24" customHeight="1" spans="2:16">
      <c r="B8" s="118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20"/>
      <c r="P8" s="120"/>
    </row>
    <row r="9" ht="31" customHeight="1" spans="2:16">
      <c r="B9" s="99" t="s">
        <v>193</v>
      </c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</row>
    <row r="10" ht="15" customHeight="1" spans="2:16">
      <c r="B10" s="100" t="s">
        <v>1</v>
      </c>
      <c r="C10" s="101" t="s">
        <v>2</v>
      </c>
      <c r="D10" s="101" t="s">
        <v>3</v>
      </c>
      <c r="E10" s="101" t="s">
        <v>4</v>
      </c>
      <c r="F10" s="101" t="s">
        <v>5</v>
      </c>
      <c r="G10" s="102" t="s">
        <v>6</v>
      </c>
      <c r="H10" s="102" t="s">
        <v>7</v>
      </c>
      <c r="I10" s="102" t="s">
        <v>8</v>
      </c>
      <c r="J10" s="102" t="s">
        <v>9</v>
      </c>
      <c r="K10" s="102" t="s">
        <v>10</v>
      </c>
      <c r="L10" s="102" t="s">
        <v>11</v>
      </c>
      <c r="M10" s="102" t="s">
        <v>12</v>
      </c>
      <c r="N10" s="121" t="s">
        <v>13</v>
      </c>
      <c r="O10" s="122" t="s">
        <v>14</v>
      </c>
      <c r="P10" s="123" t="s">
        <v>188</v>
      </c>
    </row>
    <row r="11" ht="15" customHeight="1" spans="2:16">
      <c r="B11" s="105"/>
      <c r="C11" s="106"/>
      <c r="D11" s="106"/>
      <c r="E11" s="106"/>
      <c r="F11" s="106"/>
      <c r="G11" s="107"/>
      <c r="H11" s="107"/>
      <c r="I11" s="107"/>
      <c r="J11" s="107"/>
      <c r="K11" s="107"/>
      <c r="L11" s="107"/>
      <c r="M11" s="107"/>
      <c r="N11" s="124"/>
      <c r="O11" s="125"/>
      <c r="P11" s="126"/>
    </row>
    <row r="12" ht="32" customHeight="1" spans="2:16">
      <c r="B12" s="110" t="s">
        <v>189</v>
      </c>
      <c r="C12" s="111" t="e">
        <f>#REF!</f>
        <v>#REF!</v>
      </c>
      <c r="D12" s="111" t="e">
        <f>#REF!</f>
        <v>#REF!</v>
      </c>
      <c r="E12" s="111" t="e">
        <f>#REF!</f>
        <v>#REF!</v>
      </c>
      <c r="F12" s="111" t="e">
        <f>#REF!</f>
        <v>#REF!</v>
      </c>
      <c r="G12" s="111" t="e">
        <f>#REF!</f>
        <v>#REF!</v>
      </c>
      <c r="H12" s="111" t="e">
        <f>#REF!</f>
        <v>#REF!</v>
      </c>
      <c r="I12" s="111" t="e">
        <f>#REF!</f>
        <v>#REF!</v>
      </c>
      <c r="J12" s="111" t="e">
        <f>#REF!</f>
        <v>#REF!</v>
      </c>
      <c r="K12" s="111" t="e">
        <f>#REF!</f>
        <v>#REF!</v>
      </c>
      <c r="L12" s="111" t="e">
        <f>#REF!</f>
        <v>#REF!</v>
      </c>
      <c r="M12" s="111" t="e">
        <f>#REF!</f>
        <v>#REF!</v>
      </c>
      <c r="N12" s="127" t="e">
        <f>#REF!</f>
        <v>#REF!</v>
      </c>
      <c r="O12" s="128" t="e">
        <f t="shared" ref="O12:O15" si="1">SUM(C12:N12)</f>
        <v>#REF!</v>
      </c>
      <c r="P12" s="112"/>
    </row>
    <row r="13" customHeight="1" spans="2:16">
      <c r="B13" s="110" t="s">
        <v>190</v>
      </c>
      <c r="C13" s="111" t="e">
        <f>#REF!</f>
        <v>#REF!</v>
      </c>
      <c r="D13" s="111" t="e">
        <f>#REF!</f>
        <v>#REF!</v>
      </c>
      <c r="E13" s="111" t="e">
        <f>#REF!</f>
        <v>#REF!</v>
      </c>
      <c r="F13" s="111" t="e">
        <f>#REF!</f>
        <v>#REF!</v>
      </c>
      <c r="G13" s="111" t="e">
        <f>#REF!</f>
        <v>#REF!</v>
      </c>
      <c r="H13" s="111" t="e">
        <f>#REF!</f>
        <v>#REF!</v>
      </c>
      <c r="I13" s="111" t="e">
        <f>#REF!</f>
        <v>#REF!</v>
      </c>
      <c r="J13" s="111" t="e">
        <f>#REF!</f>
        <v>#REF!</v>
      </c>
      <c r="K13" s="111" t="e">
        <f>#REF!</f>
        <v>#REF!</v>
      </c>
      <c r="L13" s="111" t="e">
        <f>#REF!</f>
        <v>#REF!</v>
      </c>
      <c r="M13" s="111" t="e">
        <f>#REF!</f>
        <v>#REF!</v>
      </c>
      <c r="N13" s="127" t="e">
        <f>#REF!</f>
        <v>#REF!</v>
      </c>
      <c r="O13" s="128" t="e">
        <f t="shared" si="1"/>
        <v>#REF!</v>
      </c>
      <c r="P13" s="112"/>
    </row>
    <row r="14" customHeight="1" spans="2:16">
      <c r="B14" s="110" t="s">
        <v>191</v>
      </c>
      <c r="C14" s="111" t="e">
        <f>#REF!</f>
        <v>#REF!</v>
      </c>
      <c r="D14" s="111" t="e">
        <f>#REF!</f>
        <v>#REF!</v>
      </c>
      <c r="E14" s="111" t="e">
        <f>#REF!</f>
        <v>#REF!</v>
      </c>
      <c r="F14" s="111" t="e">
        <f>#REF!</f>
        <v>#REF!</v>
      </c>
      <c r="G14" s="111" t="e">
        <f>#REF!</f>
        <v>#REF!</v>
      </c>
      <c r="H14" s="111" t="e">
        <f>#REF!</f>
        <v>#REF!</v>
      </c>
      <c r="I14" s="111" t="e">
        <f>#REF!</f>
        <v>#REF!</v>
      </c>
      <c r="J14" s="111" t="e">
        <f>#REF!</f>
        <v>#REF!</v>
      </c>
      <c r="K14" s="111" t="e">
        <f>#REF!</f>
        <v>#REF!</v>
      </c>
      <c r="L14" s="111" t="e">
        <f>#REF!</f>
        <v>#REF!</v>
      </c>
      <c r="M14" s="111" t="e">
        <f>#REF!</f>
        <v>#REF!</v>
      </c>
      <c r="N14" s="127" t="e">
        <f>#REF!</f>
        <v>#REF!</v>
      </c>
      <c r="O14" s="128" t="e">
        <f t="shared" si="1"/>
        <v>#REF!</v>
      </c>
      <c r="P14" s="112"/>
    </row>
    <row r="15" customHeight="1" spans="2:16">
      <c r="B15" s="114" t="s">
        <v>192</v>
      </c>
      <c r="C15" s="115">
        <f>'2025年老店营业额同比 环比分析'!C15</f>
        <v>1.2497</v>
      </c>
      <c r="D15" s="115">
        <f>'2025年老店营业额同比 环比分析'!D15</f>
        <v>1.207</v>
      </c>
      <c r="E15" s="115">
        <f>'2025年老店营业额同比 环比分析'!E15</f>
        <v>1.3272</v>
      </c>
      <c r="F15" s="115">
        <f>'2025年老店营业额同比 环比分析'!F15</f>
        <v>1.3067</v>
      </c>
      <c r="G15" s="115">
        <f>'2025年老店营业额同比 环比分析'!G15</f>
        <v>1.3748</v>
      </c>
      <c r="H15" s="115">
        <f>'2025年老店营业额同比 环比分析'!H15</f>
        <v>1.1699</v>
      </c>
      <c r="I15" s="115">
        <f>'2025年老店营业额同比 环比分析'!I15</f>
        <v>1.4154</v>
      </c>
      <c r="J15" s="115">
        <f>'2025年老店营业额同比 环比分析'!J15</f>
        <v>1.1762</v>
      </c>
      <c r="K15" s="115">
        <f>'2025年老店营业额同比 环比分析'!K15</f>
        <v>1.1573</v>
      </c>
      <c r="L15" s="115">
        <f>'2025年老店营业额同比 环比分析'!L15</f>
        <v>1.1137</v>
      </c>
      <c r="M15" s="115">
        <f>'2025年老店营业额同比 环比分析'!M15</f>
        <v>1.1929</v>
      </c>
      <c r="N15" s="129">
        <f>'2025年老店营业额同比 环比分析'!N15</f>
        <v>1.5454</v>
      </c>
      <c r="O15" s="130">
        <f t="shared" si="1"/>
        <v>15.2362</v>
      </c>
      <c r="P15" s="116"/>
    </row>
    <row r="16" customFormat="1" customHeight="1"/>
    <row r="17" ht="39" customHeight="1" spans="2:18">
      <c r="B17" s="99" t="s">
        <v>194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</row>
    <row r="18" ht="18" customHeight="1" spans="2:18">
      <c r="B18" s="100" t="s">
        <v>1</v>
      </c>
      <c r="C18" s="101" t="s">
        <v>2</v>
      </c>
      <c r="D18" s="101" t="s">
        <v>3</v>
      </c>
      <c r="E18" s="101" t="s">
        <v>4</v>
      </c>
      <c r="F18" s="101" t="s">
        <v>5</v>
      </c>
      <c r="G18" s="102" t="s">
        <v>6</v>
      </c>
      <c r="H18" s="102" t="s">
        <v>7</v>
      </c>
      <c r="I18" s="102" t="s">
        <v>8</v>
      </c>
      <c r="J18" s="102" t="s">
        <v>9</v>
      </c>
      <c r="K18" s="102" t="s">
        <v>10</v>
      </c>
      <c r="L18" s="102" t="s">
        <v>11</v>
      </c>
      <c r="M18" s="102" t="s">
        <v>12</v>
      </c>
      <c r="N18" s="121" t="s">
        <v>13</v>
      </c>
      <c r="O18" s="122" t="s">
        <v>14</v>
      </c>
      <c r="P18" s="123" t="s">
        <v>195</v>
      </c>
    </row>
    <row r="19" ht="22" customHeight="1" spans="2:18">
      <c r="B19" s="105"/>
      <c r="C19" s="106"/>
      <c r="D19" s="106"/>
      <c r="E19" s="106"/>
      <c r="F19" s="106"/>
      <c r="G19" s="107"/>
      <c r="H19" s="107"/>
      <c r="I19" s="107"/>
      <c r="J19" s="107"/>
      <c r="K19" s="107"/>
      <c r="L19" s="107"/>
      <c r="M19" s="107"/>
      <c r="N19" s="124"/>
      <c r="O19" s="125"/>
      <c r="P19" s="126"/>
    </row>
    <row r="20" ht="31" customHeight="1" spans="2:18">
      <c r="B20" s="110" t="s">
        <v>189</v>
      </c>
      <c r="C20" s="131" t="e">
        <f t="shared" ref="C20:O20" si="2">C4/C12</f>
        <v>#REF!</v>
      </c>
      <c r="D20" s="131" t="e">
        <f t="shared" si="2"/>
        <v>#REF!</v>
      </c>
      <c r="E20" s="131" t="e">
        <f t="shared" si="2"/>
        <v>#REF!</v>
      </c>
      <c r="F20" s="131" t="e">
        <f t="shared" si="2"/>
        <v>#REF!</v>
      </c>
      <c r="G20" s="131" t="e">
        <f t="shared" si="2"/>
        <v>#REF!</v>
      </c>
      <c r="H20" s="131" t="e">
        <f t="shared" si="2"/>
        <v>#REF!</v>
      </c>
      <c r="I20" s="131" t="e">
        <f t="shared" si="2"/>
        <v>#REF!</v>
      </c>
      <c r="J20" s="131" t="e">
        <f t="shared" si="2"/>
        <v>#REF!</v>
      </c>
      <c r="K20" s="131" t="e">
        <f t="shared" si="2"/>
        <v>#REF!</v>
      </c>
      <c r="L20" s="131" t="e">
        <f t="shared" si="2"/>
        <v>#REF!</v>
      </c>
      <c r="M20" s="131" t="e">
        <f t="shared" si="2"/>
        <v>#REF!</v>
      </c>
      <c r="N20" s="132" t="e">
        <f t="shared" si="2"/>
        <v>#REF!</v>
      </c>
      <c r="O20" s="133" t="e">
        <f t="shared" si="2"/>
        <v>#REF!</v>
      </c>
      <c r="P20" s="112"/>
    </row>
    <row r="21" customHeight="1" spans="2:18">
      <c r="B21" s="110" t="s">
        <v>190</v>
      </c>
      <c r="C21" s="131" t="e">
        <f t="shared" ref="C21:O21" si="3">C5/C13</f>
        <v>#REF!</v>
      </c>
      <c r="D21" s="131" t="e">
        <f t="shared" si="3"/>
        <v>#REF!</v>
      </c>
      <c r="E21" s="131" t="e">
        <f t="shared" si="3"/>
        <v>#REF!</v>
      </c>
      <c r="F21" s="131" t="e">
        <f t="shared" si="3"/>
        <v>#REF!</v>
      </c>
      <c r="G21" s="131" t="e">
        <f t="shared" si="3"/>
        <v>#REF!</v>
      </c>
      <c r="H21" s="131" t="e">
        <f t="shared" si="3"/>
        <v>#REF!</v>
      </c>
      <c r="I21" s="131" t="e">
        <f t="shared" si="3"/>
        <v>#REF!</v>
      </c>
      <c r="J21" s="131" t="e">
        <f t="shared" si="3"/>
        <v>#REF!</v>
      </c>
      <c r="K21" s="131" t="e">
        <f t="shared" si="3"/>
        <v>#REF!</v>
      </c>
      <c r="L21" s="131" t="e">
        <f t="shared" si="3"/>
        <v>#REF!</v>
      </c>
      <c r="M21" s="131" t="e">
        <f t="shared" si="3"/>
        <v>#REF!</v>
      </c>
      <c r="N21" s="132" t="e">
        <f t="shared" si="3"/>
        <v>#REF!</v>
      </c>
      <c r="O21" s="133" t="e">
        <f t="shared" si="3"/>
        <v>#REF!</v>
      </c>
      <c r="P21" s="112"/>
    </row>
    <row r="22" customHeight="1" spans="2:18">
      <c r="B22" s="110" t="s">
        <v>191</v>
      </c>
      <c r="C22" s="131" t="e">
        <f t="shared" ref="C22:O22" si="4">C6/C14</f>
        <v>#REF!</v>
      </c>
      <c r="D22" s="131" t="e">
        <f t="shared" si="4"/>
        <v>#REF!</v>
      </c>
      <c r="E22" s="131" t="e">
        <f t="shared" si="4"/>
        <v>#REF!</v>
      </c>
      <c r="F22" s="131" t="e">
        <f t="shared" si="4"/>
        <v>#REF!</v>
      </c>
      <c r="G22" s="131" t="e">
        <f t="shared" si="4"/>
        <v>#REF!</v>
      </c>
      <c r="H22" s="131" t="e">
        <f t="shared" si="4"/>
        <v>#REF!</v>
      </c>
      <c r="I22" s="131" t="e">
        <f t="shared" si="4"/>
        <v>#REF!</v>
      </c>
      <c r="J22" s="131" t="e">
        <f t="shared" si="4"/>
        <v>#REF!</v>
      </c>
      <c r="K22" s="131" t="e">
        <f t="shared" si="4"/>
        <v>#REF!</v>
      </c>
      <c r="L22" s="131" t="e">
        <f t="shared" si="4"/>
        <v>#REF!</v>
      </c>
      <c r="M22" s="131" t="e">
        <f t="shared" si="4"/>
        <v>#REF!</v>
      </c>
      <c r="N22" s="132" t="e">
        <f t="shared" si="4"/>
        <v>#REF!</v>
      </c>
      <c r="O22" s="133" t="e">
        <f t="shared" si="4"/>
        <v>#REF!</v>
      </c>
      <c r="P22" s="112"/>
      <c r="Q22" s="134"/>
      <c r="R22" s="134"/>
    </row>
    <row r="23" customHeight="1" spans="2:18">
      <c r="B23" s="114" t="s">
        <v>192</v>
      </c>
      <c r="C23" s="135">
        <f t="shared" ref="C23:O23" si="5">C7/C15</f>
        <v>9.34772905497319</v>
      </c>
      <c r="D23" s="135">
        <f t="shared" si="5"/>
        <v>9.49441590720795</v>
      </c>
      <c r="E23" s="135">
        <f t="shared" si="5"/>
        <v>9.27023056057866</v>
      </c>
      <c r="F23" s="135">
        <f t="shared" si="5"/>
        <v>9.19483125430474</v>
      </c>
      <c r="G23" s="135">
        <f t="shared" si="5"/>
        <v>9.35672025021821</v>
      </c>
      <c r="H23" s="135">
        <f t="shared" si="5"/>
        <v>9.28898794768784</v>
      </c>
      <c r="I23" s="135">
        <f t="shared" si="5"/>
        <v>9.35390843577787</v>
      </c>
      <c r="J23" s="135">
        <f t="shared" si="5"/>
        <v>9.44236949498385</v>
      </c>
      <c r="K23" s="135">
        <f t="shared" si="5"/>
        <v>8.94114058584637</v>
      </c>
      <c r="L23" s="135">
        <f t="shared" si="5"/>
        <v>9.3513639220616</v>
      </c>
      <c r="M23" s="135">
        <f t="shared" si="5"/>
        <v>9.40202699304217</v>
      </c>
      <c r="N23" s="136">
        <f t="shared" si="5"/>
        <v>9.64455157240844</v>
      </c>
      <c r="O23" s="137">
        <f t="shared" si="5"/>
        <v>9.34740683372494</v>
      </c>
      <c r="P23" s="116"/>
      <c r="Q23" s="134"/>
      <c r="R23" s="134"/>
    </row>
    <row r="24" customFormat="1" customHeight="1"/>
    <row r="25" customHeight="1" spans="2:18">
      <c r="B25" s="99" t="s">
        <v>196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</row>
    <row r="26" ht="18" customHeight="1" spans="2:18">
      <c r="B26" s="100" t="s">
        <v>1</v>
      </c>
      <c r="C26" s="101" t="s">
        <v>2</v>
      </c>
      <c r="D26" s="101" t="s">
        <v>3</v>
      </c>
      <c r="E26" s="101" t="s">
        <v>4</v>
      </c>
      <c r="F26" s="101" t="s">
        <v>5</v>
      </c>
      <c r="G26" s="102" t="s">
        <v>6</v>
      </c>
      <c r="H26" s="102" t="s">
        <v>7</v>
      </c>
      <c r="I26" s="102" t="s">
        <v>8</v>
      </c>
      <c r="J26" s="102" t="s">
        <v>9</v>
      </c>
      <c r="K26" s="102" t="s">
        <v>10</v>
      </c>
      <c r="L26" s="102" t="s">
        <v>11</v>
      </c>
      <c r="M26" s="102" t="s">
        <v>12</v>
      </c>
      <c r="N26" s="121" t="s">
        <v>13</v>
      </c>
      <c r="O26" s="122" t="s">
        <v>195</v>
      </c>
      <c r="P26" s="138" t="s">
        <v>188</v>
      </c>
    </row>
    <row r="27" ht="18" customHeight="1" spans="2:18">
      <c r="B27" s="105"/>
      <c r="C27" s="106"/>
      <c r="D27" s="106"/>
      <c r="E27" s="106"/>
      <c r="F27" s="106"/>
      <c r="G27" s="107"/>
      <c r="H27" s="107"/>
      <c r="I27" s="107"/>
      <c r="J27" s="107"/>
      <c r="K27" s="107"/>
      <c r="L27" s="107"/>
      <c r="M27" s="107"/>
      <c r="N27" s="124"/>
      <c r="O27" s="125"/>
      <c r="P27" s="139"/>
    </row>
    <row r="28" ht="28" customHeight="1" spans="2:18">
      <c r="B28" s="110" t="s">
        <v>189</v>
      </c>
      <c r="C28" s="140" t="e">
        <f>1-C4/(C7-'2025年老店营业额同比 环比分析'!C5)</f>
        <v>#REF!</v>
      </c>
      <c r="D28" s="140" t="e">
        <f>1-D4/(D7-'2025年老店营业额同比 环比分析'!D5)</f>
        <v>#REF!</v>
      </c>
      <c r="E28" s="140" t="e">
        <f>1-E4/(E7-'2025年老店营业额同比 环比分析'!E5)</f>
        <v>#REF!</v>
      </c>
      <c r="F28" s="140" t="e">
        <f>1-F4/(F7-'2025年老店营业额同比 环比分析'!F5)</f>
        <v>#REF!</v>
      </c>
      <c r="G28" s="140" t="e">
        <f>1-G4/(G7-'2025年老店营业额同比 环比分析'!G5)</f>
        <v>#REF!</v>
      </c>
      <c r="H28" s="140" t="e">
        <f>1-H4/(H7-'2025年老店营业额同比 环比分析'!H5)</f>
        <v>#REF!</v>
      </c>
      <c r="I28" s="140" t="e">
        <f>1-I4/(I7-'2025年老店营业额同比 环比分析'!I5)</f>
        <v>#REF!</v>
      </c>
      <c r="J28" s="140" t="e">
        <f>1-J4/(J7-'2025年老店营业额同比 环比分析'!J5)</f>
        <v>#REF!</v>
      </c>
      <c r="K28" s="140" t="e">
        <f>1-K4/(K7-'2025年老店营业额同比 环比分析'!K5)</f>
        <v>#REF!</v>
      </c>
      <c r="L28" s="140" t="e">
        <f>1-L4/(L7-'2025年老店营业额同比 环比分析'!L5)</f>
        <v>#REF!</v>
      </c>
      <c r="M28" s="140" t="e">
        <f>1-M4/(M7-'2025年老店营业额同比 环比分析'!M5)</f>
        <v>#REF!</v>
      </c>
      <c r="N28" s="141" t="e">
        <f>1-N4/(N7-'2025年老店营业额同比 环比分析'!N5)</f>
        <v>#REF!</v>
      </c>
      <c r="O28" s="142"/>
      <c r="P28" s="143"/>
    </row>
    <row r="29" customHeight="1" spans="2:18">
      <c r="B29" s="110" t="s">
        <v>190</v>
      </c>
      <c r="C29" s="140" t="e">
        <f t="shared" ref="C29:N29" si="6">1-C5/C7</f>
        <v>#REF!</v>
      </c>
      <c r="D29" s="140" t="e">
        <f t="shared" si="6"/>
        <v>#REF!</v>
      </c>
      <c r="E29" s="140" t="e">
        <f t="shared" si="6"/>
        <v>#REF!</v>
      </c>
      <c r="F29" s="140" t="e">
        <f t="shared" si="6"/>
        <v>#REF!</v>
      </c>
      <c r="G29" s="140" t="e">
        <f t="shared" si="6"/>
        <v>#REF!</v>
      </c>
      <c r="H29" s="140" t="e">
        <f t="shared" si="6"/>
        <v>#REF!</v>
      </c>
      <c r="I29" s="140" t="e">
        <f t="shared" si="6"/>
        <v>#REF!</v>
      </c>
      <c r="J29" s="140" t="e">
        <f t="shared" si="6"/>
        <v>#REF!</v>
      </c>
      <c r="K29" s="140" t="e">
        <f t="shared" si="6"/>
        <v>#REF!</v>
      </c>
      <c r="L29" s="140" t="e">
        <f t="shared" si="6"/>
        <v>#REF!</v>
      </c>
      <c r="M29" s="140" t="e">
        <f t="shared" si="6"/>
        <v>#REF!</v>
      </c>
      <c r="N29" s="141" t="e">
        <f t="shared" si="6"/>
        <v>#REF!</v>
      </c>
      <c r="O29" s="142"/>
      <c r="P29" s="143"/>
    </row>
    <row r="30" customHeight="1" spans="2:18">
      <c r="B30" s="114" t="s">
        <v>191</v>
      </c>
      <c r="C30" s="144" t="e">
        <f t="shared" ref="C30:N30" si="7">1-C6/C7</f>
        <v>#REF!</v>
      </c>
      <c r="D30" s="144" t="e">
        <f t="shared" si="7"/>
        <v>#REF!</v>
      </c>
      <c r="E30" s="144" t="e">
        <f t="shared" si="7"/>
        <v>#REF!</v>
      </c>
      <c r="F30" s="144" t="e">
        <f t="shared" si="7"/>
        <v>#REF!</v>
      </c>
      <c r="G30" s="144" t="e">
        <f t="shared" si="7"/>
        <v>#REF!</v>
      </c>
      <c r="H30" s="144" t="e">
        <f t="shared" si="7"/>
        <v>#REF!</v>
      </c>
      <c r="I30" s="144" t="e">
        <f t="shared" si="7"/>
        <v>#REF!</v>
      </c>
      <c r="J30" s="144" t="e">
        <f t="shared" si="7"/>
        <v>#REF!</v>
      </c>
      <c r="K30" s="144" t="e">
        <f t="shared" si="7"/>
        <v>#REF!</v>
      </c>
      <c r="L30" s="144" t="e">
        <f t="shared" si="7"/>
        <v>#REF!</v>
      </c>
      <c r="M30" s="144" t="e">
        <f t="shared" si="7"/>
        <v>#REF!</v>
      </c>
      <c r="N30" s="145" t="e">
        <f t="shared" si="7"/>
        <v>#REF!</v>
      </c>
      <c r="O30" s="146"/>
      <c r="P30" s="147"/>
    </row>
    <row r="31" customFormat="1" customHeight="1"/>
    <row r="32" customHeight="1" spans="2:18">
      <c r="B32" s="99" t="s">
        <v>197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</row>
    <row r="33" ht="15" customHeight="1" spans="1:18">
      <c r="B33" s="100" t="s">
        <v>1</v>
      </c>
      <c r="C33" s="101" t="s">
        <v>2</v>
      </c>
      <c r="D33" s="101" t="s">
        <v>3</v>
      </c>
      <c r="E33" s="101" t="s">
        <v>4</v>
      </c>
      <c r="F33" s="101" t="s">
        <v>5</v>
      </c>
      <c r="G33" s="102" t="s">
        <v>6</v>
      </c>
      <c r="H33" s="102" t="s">
        <v>7</v>
      </c>
      <c r="I33" s="102" t="s">
        <v>8</v>
      </c>
      <c r="J33" s="102" t="s">
        <v>9</v>
      </c>
      <c r="K33" s="102" t="s">
        <v>10</v>
      </c>
      <c r="L33" s="102" t="s">
        <v>11</v>
      </c>
      <c r="M33" s="102" t="s">
        <v>12</v>
      </c>
      <c r="N33" s="103" t="s">
        <v>13</v>
      </c>
      <c r="O33" s="122" t="s">
        <v>195</v>
      </c>
      <c r="P33" s="138" t="s">
        <v>188</v>
      </c>
    </row>
    <row r="34" ht="15" customHeight="1" spans="1:18">
      <c r="B34" s="105"/>
      <c r="C34" s="106"/>
      <c r="D34" s="106"/>
      <c r="E34" s="106"/>
      <c r="F34" s="106"/>
      <c r="G34" s="107"/>
      <c r="H34" s="107"/>
      <c r="I34" s="107"/>
      <c r="J34" s="107"/>
      <c r="K34" s="107"/>
      <c r="L34" s="107"/>
      <c r="M34" s="107"/>
      <c r="N34" s="108"/>
      <c r="O34" s="125"/>
      <c r="P34" s="139"/>
    </row>
    <row r="35" ht="29" customHeight="1" spans="1:18">
      <c r="B35" s="110" t="s">
        <v>189</v>
      </c>
      <c r="C35" s="140" t="e">
        <f>1-C12/(C15-'2025年老店营业额同比 环比分析'!C15)</f>
        <v>#REF!</v>
      </c>
      <c r="D35" s="140" t="e">
        <f>1-D12/(D15-'2025年老店营业额同比 环比分析'!D15)</f>
        <v>#REF!</v>
      </c>
      <c r="E35" s="140" t="e">
        <f>1-E12/(E15-'2025年老店营业额同比 环比分析'!E15)</f>
        <v>#REF!</v>
      </c>
      <c r="F35" s="140" t="e">
        <f>1-F12/(F15-'2025年老店营业额同比 环比分析'!F15)</f>
        <v>#REF!</v>
      </c>
      <c r="G35" s="140" t="e">
        <f>1-G12/(G15-'2025年老店营业额同比 环比分析'!G15)</f>
        <v>#REF!</v>
      </c>
      <c r="H35" s="140" t="e">
        <f>1-H12/(H15-'2025年老店营业额同比 环比分析'!H15)</f>
        <v>#REF!</v>
      </c>
      <c r="I35" s="140" t="e">
        <f>1-I12/(I15-'2025年老店营业额同比 环比分析'!I15)</f>
        <v>#REF!</v>
      </c>
      <c r="J35" s="140" t="e">
        <f>1-J12/(J15-'2025年老店营业额同比 环比分析'!J15)</f>
        <v>#REF!</v>
      </c>
      <c r="K35" s="140" t="e">
        <f>1-K12/(K15-'2025年老店营业额同比 环比分析'!K15)</f>
        <v>#REF!</v>
      </c>
      <c r="L35" s="140" t="e">
        <f>1-L12/(L15-'2025年老店营业额同比 环比分析'!L15)</f>
        <v>#REF!</v>
      </c>
      <c r="M35" s="140" t="e">
        <f>1-M12/(M15-'2025年老店营业额同比 环比分析'!M15)</f>
        <v>#REF!</v>
      </c>
      <c r="N35" s="148" t="e">
        <f>1-N12/(N15-'2025年老店营业额同比 环比分析'!N15)</f>
        <v>#REF!</v>
      </c>
      <c r="O35" s="142"/>
      <c r="P35" s="143"/>
    </row>
    <row r="36" customHeight="1" spans="1:18">
      <c r="B36" s="110" t="s">
        <v>190</v>
      </c>
      <c r="C36" s="140" t="e">
        <f t="shared" ref="C36:N36" si="8">1-C13/C15</f>
        <v>#REF!</v>
      </c>
      <c r="D36" s="149" t="e">
        <f t="shared" si="8"/>
        <v>#REF!</v>
      </c>
      <c r="E36" s="140" t="e">
        <f t="shared" si="8"/>
        <v>#REF!</v>
      </c>
      <c r="F36" s="140" t="e">
        <f t="shared" si="8"/>
        <v>#REF!</v>
      </c>
      <c r="G36" s="140" t="e">
        <f t="shared" si="8"/>
        <v>#REF!</v>
      </c>
      <c r="H36" s="140" t="e">
        <f t="shared" si="8"/>
        <v>#REF!</v>
      </c>
      <c r="I36" s="140" t="e">
        <f t="shared" si="8"/>
        <v>#REF!</v>
      </c>
      <c r="J36" s="140" t="e">
        <f t="shared" si="8"/>
        <v>#REF!</v>
      </c>
      <c r="K36" s="140" t="e">
        <f t="shared" si="8"/>
        <v>#REF!</v>
      </c>
      <c r="L36" s="140" t="e">
        <f t="shared" si="8"/>
        <v>#REF!</v>
      </c>
      <c r="M36" s="140" t="e">
        <f t="shared" si="8"/>
        <v>#REF!</v>
      </c>
      <c r="N36" s="148" t="e">
        <f t="shared" si="8"/>
        <v>#REF!</v>
      </c>
      <c r="O36" s="142"/>
      <c r="P36" s="143"/>
    </row>
    <row r="37" customHeight="1" spans="1:18">
      <c r="B37" s="114" t="s">
        <v>191</v>
      </c>
      <c r="C37" s="144" t="e">
        <f t="shared" ref="C37:N37" si="9">1-C14/C15</f>
        <v>#REF!</v>
      </c>
      <c r="D37" s="144" t="e">
        <f t="shared" si="9"/>
        <v>#REF!</v>
      </c>
      <c r="E37" s="144" t="e">
        <f t="shared" si="9"/>
        <v>#REF!</v>
      </c>
      <c r="F37" s="144" t="e">
        <f t="shared" si="9"/>
        <v>#REF!</v>
      </c>
      <c r="G37" s="144" t="e">
        <f t="shared" si="9"/>
        <v>#REF!</v>
      </c>
      <c r="H37" s="144" t="e">
        <f t="shared" si="9"/>
        <v>#REF!</v>
      </c>
      <c r="I37" s="144" t="e">
        <f t="shared" si="9"/>
        <v>#REF!</v>
      </c>
      <c r="J37" s="144" t="e">
        <f t="shared" si="9"/>
        <v>#REF!</v>
      </c>
      <c r="K37" s="144" t="e">
        <f t="shared" si="9"/>
        <v>#REF!</v>
      </c>
      <c r="L37" s="144" t="e">
        <f t="shared" si="9"/>
        <v>#REF!</v>
      </c>
      <c r="M37" s="144" t="e">
        <f t="shared" si="9"/>
        <v>#REF!</v>
      </c>
      <c r="N37" s="150" t="e">
        <f t="shared" si="9"/>
        <v>#REF!</v>
      </c>
      <c r="O37" s="146"/>
      <c r="P37" s="147"/>
      <c r="Q37" s="134"/>
    </row>
    <row r="38" customFormat="1" customHeight="1"/>
    <row r="39" customHeight="1" spans="1:18">
      <c r="B39" s="99" t="s">
        <v>198</v>
      </c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</row>
    <row r="40" ht="16" customHeight="1" spans="1:18">
      <c r="B40" s="100" t="s">
        <v>1</v>
      </c>
      <c r="C40" s="101" t="s">
        <v>2</v>
      </c>
      <c r="D40" s="101" t="s">
        <v>3</v>
      </c>
      <c r="E40" s="101" t="s">
        <v>4</v>
      </c>
      <c r="F40" s="101" t="s">
        <v>5</v>
      </c>
      <c r="G40" s="101" t="s">
        <v>6</v>
      </c>
      <c r="H40" s="101" t="s">
        <v>7</v>
      </c>
      <c r="I40" s="101" t="s">
        <v>8</v>
      </c>
      <c r="J40" s="101" t="s">
        <v>9</v>
      </c>
      <c r="K40" s="101" t="s">
        <v>10</v>
      </c>
      <c r="L40" s="101" t="s">
        <v>11</v>
      </c>
      <c r="M40" s="101" t="s">
        <v>12</v>
      </c>
      <c r="N40" s="123" t="s">
        <v>13</v>
      </c>
      <c r="O40" s="122" t="s">
        <v>195</v>
      </c>
      <c r="P40" s="138" t="s">
        <v>188</v>
      </c>
    </row>
    <row r="41" ht="16" customHeight="1" spans="1:18"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26"/>
      <c r="O41" s="125"/>
      <c r="P41" s="139"/>
    </row>
    <row r="42" ht="34" customHeight="1" spans="1:18">
      <c r="B42" s="110" t="s">
        <v>189</v>
      </c>
      <c r="C42" s="131" t="e">
        <f t="shared" ref="C42:N42" si="10">C23-C20</f>
        <v>#REF!</v>
      </c>
      <c r="D42" s="131" t="e">
        <f t="shared" si="10"/>
        <v>#REF!</v>
      </c>
      <c r="E42" s="131" t="e">
        <f t="shared" si="10"/>
        <v>#REF!</v>
      </c>
      <c r="F42" s="131" t="e">
        <f t="shared" si="10"/>
        <v>#REF!</v>
      </c>
      <c r="G42" s="131" t="e">
        <f t="shared" si="10"/>
        <v>#REF!</v>
      </c>
      <c r="H42" s="131" t="e">
        <f t="shared" si="10"/>
        <v>#REF!</v>
      </c>
      <c r="I42" s="131" t="e">
        <f t="shared" si="10"/>
        <v>#REF!</v>
      </c>
      <c r="J42" s="131" t="e">
        <f t="shared" si="10"/>
        <v>#REF!</v>
      </c>
      <c r="K42" s="131" t="e">
        <f t="shared" si="10"/>
        <v>#REF!</v>
      </c>
      <c r="L42" s="131" t="e">
        <f t="shared" si="10"/>
        <v>#REF!</v>
      </c>
      <c r="M42" s="131" t="e">
        <f t="shared" si="10"/>
        <v>#REF!</v>
      </c>
      <c r="N42" s="151" t="e">
        <f t="shared" si="10"/>
        <v>#REF!</v>
      </c>
      <c r="O42" s="142"/>
      <c r="P42" s="143"/>
    </row>
    <row r="43" customHeight="1" spans="1:18">
      <c r="B43" s="110" t="s">
        <v>190</v>
      </c>
      <c r="C43" s="131" t="e">
        <f t="shared" ref="C43:N43" si="11">C23-C21</f>
        <v>#REF!</v>
      </c>
      <c r="D43" s="131" t="e">
        <f t="shared" si="11"/>
        <v>#REF!</v>
      </c>
      <c r="E43" s="131" t="e">
        <f t="shared" si="11"/>
        <v>#REF!</v>
      </c>
      <c r="F43" s="131" t="e">
        <f t="shared" si="11"/>
        <v>#REF!</v>
      </c>
      <c r="G43" s="131" t="e">
        <f t="shared" si="11"/>
        <v>#REF!</v>
      </c>
      <c r="H43" s="131" t="e">
        <f t="shared" si="11"/>
        <v>#REF!</v>
      </c>
      <c r="I43" s="131" t="e">
        <f t="shared" si="11"/>
        <v>#REF!</v>
      </c>
      <c r="J43" s="131" t="e">
        <f t="shared" si="11"/>
        <v>#REF!</v>
      </c>
      <c r="K43" s="131" t="e">
        <f t="shared" si="11"/>
        <v>#REF!</v>
      </c>
      <c r="L43" s="131" t="e">
        <f t="shared" si="11"/>
        <v>#REF!</v>
      </c>
      <c r="M43" s="131" t="e">
        <f t="shared" si="11"/>
        <v>#REF!</v>
      </c>
      <c r="N43" s="151" t="e">
        <f t="shared" si="11"/>
        <v>#REF!</v>
      </c>
      <c r="O43" s="142"/>
      <c r="P43" s="143"/>
    </row>
    <row r="44" customHeight="1" spans="1:18">
      <c r="A44" s="134"/>
      <c r="B44" s="114" t="s">
        <v>191</v>
      </c>
      <c r="C44" s="135" t="e">
        <f t="shared" ref="C44:N44" si="12">C23-C22</f>
        <v>#REF!</v>
      </c>
      <c r="D44" s="135" t="e">
        <f t="shared" si="12"/>
        <v>#REF!</v>
      </c>
      <c r="E44" s="135" t="e">
        <f t="shared" si="12"/>
        <v>#REF!</v>
      </c>
      <c r="F44" s="135" t="e">
        <f t="shared" si="12"/>
        <v>#REF!</v>
      </c>
      <c r="G44" s="135" t="e">
        <f t="shared" si="12"/>
        <v>#REF!</v>
      </c>
      <c r="H44" s="135" t="e">
        <f t="shared" si="12"/>
        <v>#REF!</v>
      </c>
      <c r="I44" s="135" t="e">
        <f t="shared" si="12"/>
        <v>#REF!</v>
      </c>
      <c r="J44" s="135" t="e">
        <f t="shared" si="12"/>
        <v>#REF!</v>
      </c>
      <c r="K44" s="135" t="e">
        <f t="shared" si="12"/>
        <v>#REF!</v>
      </c>
      <c r="L44" s="135" t="e">
        <f t="shared" si="12"/>
        <v>#REF!</v>
      </c>
      <c r="M44" s="135" t="e">
        <f t="shared" si="12"/>
        <v>#REF!</v>
      </c>
      <c r="N44" s="152" t="e">
        <f t="shared" si="12"/>
        <v>#REF!</v>
      </c>
      <c r="O44" s="146"/>
      <c r="P44" s="147"/>
      <c r="Q44" s="134"/>
      <c r="R44" s="134"/>
    </row>
  </sheetData>
  <mergeCells count="96">
    <mergeCell ref="B1:O1"/>
    <mergeCell ref="B9:O9"/>
    <mergeCell ref="B17:O17"/>
    <mergeCell ref="B25:O25"/>
    <mergeCell ref="B32:O32"/>
    <mergeCell ref="B39:O39"/>
    <mergeCell ref="B2:B3"/>
    <mergeCell ref="B10:B11"/>
    <mergeCell ref="B18:B19"/>
    <mergeCell ref="B26:B27"/>
    <mergeCell ref="B33:B34"/>
    <mergeCell ref="B40:B41"/>
    <mergeCell ref="C2:C3"/>
    <mergeCell ref="C10:C11"/>
    <mergeCell ref="C18:C19"/>
    <mergeCell ref="C26:C27"/>
    <mergeCell ref="C33:C34"/>
    <mergeCell ref="C40:C41"/>
    <mergeCell ref="D2:D3"/>
    <mergeCell ref="D10:D11"/>
    <mergeCell ref="D18:D19"/>
    <mergeCell ref="D26:D27"/>
    <mergeCell ref="D33:D34"/>
    <mergeCell ref="D40:D41"/>
    <mergeCell ref="E2:E3"/>
    <mergeCell ref="E10:E11"/>
    <mergeCell ref="E18:E19"/>
    <mergeCell ref="E26:E27"/>
    <mergeCell ref="E33:E34"/>
    <mergeCell ref="E40:E41"/>
    <mergeCell ref="F2:F3"/>
    <mergeCell ref="F10:F11"/>
    <mergeCell ref="F18:F19"/>
    <mergeCell ref="F26:F27"/>
    <mergeCell ref="F33:F34"/>
    <mergeCell ref="F40:F41"/>
    <mergeCell ref="G2:G3"/>
    <mergeCell ref="G10:G11"/>
    <mergeCell ref="G18:G19"/>
    <mergeCell ref="G26:G27"/>
    <mergeCell ref="G33:G34"/>
    <mergeCell ref="G40:G41"/>
    <mergeCell ref="H2:H3"/>
    <mergeCell ref="H10:H11"/>
    <mergeCell ref="H18:H19"/>
    <mergeCell ref="H26:H27"/>
    <mergeCell ref="H33:H34"/>
    <mergeCell ref="H40:H41"/>
    <mergeCell ref="I2:I3"/>
    <mergeCell ref="I10:I11"/>
    <mergeCell ref="I18:I19"/>
    <mergeCell ref="I26:I27"/>
    <mergeCell ref="I33:I34"/>
    <mergeCell ref="I40:I41"/>
    <mergeCell ref="J2:J3"/>
    <mergeCell ref="J10:J11"/>
    <mergeCell ref="J18:J19"/>
    <mergeCell ref="J26:J27"/>
    <mergeCell ref="J33:J34"/>
    <mergeCell ref="J40:J41"/>
    <mergeCell ref="K2:K3"/>
    <mergeCell ref="K10:K11"/>
    <mergeCell ref="K18:K19"/>
    <mergeCell ref="K26:K27"/>
    <mergeCell ref="K33:K34"/>
    <mergeCell ref="K40:K41"/>
    <mergeCell ref="L2:L3"/>
    <mergeCell ref="L10:L11"/>
    <mergeCell ref="L18:L19"/>
    <mergeCell ref="L26:L27"/>
    <mergeCell ref="L33:L34"/>
    <mergeCell ref="L40:L41"/>
    <mergeCell ref="M2:M3"/>
    <mergeCell ref="M10:M11"/>
    <mergeCell ref="M18:M19"/>
    <mergeCell ref="M26:M27"/>
    <mergeCell ref="M33:M34"/>
    <mergeCell ref="M40:M41"/>
    <mergeCell ref="N2:N3"/>
    <mergeCell ref="N10:N11"/>
    <mergeCell ref="N18:N19"/>
    <mergeCell ref="N26:N27"/>
    <mergeCell ref="N33:N34"/>
    <mergeCell ref="N40:N41"/>
    <mergeCell ref="O2:O3"/>
    <mergeCell ref="O10:O11"/>
    <mergeCell ref="O18:O19"/>
    <mergeCell ref="O26:O27"/>
    <mergeCell ref="O33:O34"/>
    <mergeCell ref="O40:O41"/>
    <mergeCell ref="P2:P3"/>
    <mergeCell ref="P10:P11"/>
    <mergeCell ref="P18:P19"/>
    <mergeCell ref="P26:P27"/>
    <mergeCell ref="P33:P34"/>
    <mergeCell ref="P40:P41"/>
  </mergeCells>
  <pageMargins left="0.75" right="0.75" top="1" bottom="1" header="0.511805555555556" footer="0.511805555555556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29"/>
  <sheetViews>
    <sheetView zoomScale="88" zoomScaleNormal="88" topLeftCell="AI1" workbookViewId="0">
      <selection activeCell="AK2" sqref="AK2:AY23"/>
    </sheetView>
  </sheetViews>
  <sheetFormatPr defaultColWidth="9.69230769230769" defaultRowHeight="20.4"/>
  <cols>
    <col min="1" max="1" width="12.5192307692308" style="18" customWidth="1"/>
    <col min="2" max="2" width="19.2307692307692" style="18" customWidth="1"/>
    <col min="3" max="3" width="11.1730769230769" style="26" customWidth="1"/>
    <col min="4" max="8" width="12.3846153846154" style="27" customWidth="1"/>
    <col min="9" max="14" width="12.3846153846154" style="18" customWidth="1"/>
    <col min="15" max="15" width="12.3846153846154" style="28" customWidth="1"/>
    <col min="16" max="16" width="14.875" style="29" customWidth="1"/>
    <col min="17" max="17" width="12.3846153846154" style="28" customWidth="1"/>
    <col min="18" max="18" width="9.69230769230769" style="18"/>
    <col min="19" max="19" width="16.9615384615385" style="18" customWidth="1"/>
    <col min="20" max="20" width="20.5673076923077" style="18" customWidth="1"/>
    <col min="21" max="21" width="10.7692307692308" style="26" customWidth="1"/>
    <col min="22" max="26" width="12.25" style="27" customWidth="1"/>
    <col min="27" max="28" width="12.25" style="18" customWidth="1"/>
    <col min="29" max="32" width="13.3269230769231" style="18" customWidth="1"/>
    <col min="33" max="33" width="12.7884615384615" style="28" customWidth="1"/>
    <col min="34" max="34" width="18.125" style="30" customWidth="1"/>
    <col min="35" max="35" width="12.7884615384615" style="28" customWidth="1"/>
    <col min="36" max="36" width="9.69230769230769" style="18"/>
    <col min="37" max="37" width="17.5" style="18" customWidth="1"/>
    <col min="38" max="38" width="13.4519230769231" style="31" customWidth="1"/>
    <col min="39" max="39" width="11.7115384615385" style="26" customWidth="1"/>
    <col min="40" max="44" width="12.7884615384615" style="27" customWidth="1"/>
    <col min="45" max="51" width="12.7884615384615" style="18" customWidth="1"/>
    <col min="52" max="52" width="18.1153846153846" style="32" customWidth="1"/>
    <col min="53" max="16384" width="9.69230769230769" style="18"/>
  </cols>
  <sheetData>
    <row r="1" s="18" customFormat="1" ht="39" customHeight="1" spans="1:64">
      <c r="A1" s="33" t="s">
        <v>199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4"/>
      <c r="Q1" s="35"/>
      <c r="R1" s="36"/>
      <c r="S1" s="36" t="s">
        <v>200</v>
      </c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7"/>
      <c r="AI1" s="36"/>
      <c r="AJ1" s="36"/>
      <c r="AK1" s="33" t="s">
        <v>201</v>
      </c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2"/>
    </row>
    <row r="2" s="18" customFormat="1" ht="24.95" customHeight="1" spans="1:64">
      <c r="A2" s="1" t="s">
        <v>202</v>
      </c>
      <c r="B2" s="3"/>
      <c r="C2" s="1" t="s">
        <v>203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38" t="s">
        <v>204</v>
      </c>
      <c r="Q2" s="39"/>
      <c r="R2" s="40"/>
      <c r="S2" s="1" t="s">
        <v>202</v>
      </c>
      <c r="T2" s="3"/>
      <c r="U2" s="1" t="s">
        <v>203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6</v>
      </c>
      <c r="AA2" s="1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13</v>
      </c>
      <c r="AH2" s="41" t="s">
        <v>204</v>
      </c>
      <c r="AI2" s="39"/>
      <c r="AJ2" s="40"/>
      <c r="AK2" s="1" t="s">
        <v>202</v>
      </c>
      <c r="AL2" s="3"/>
      <c r="AM2" s="1" t="s">
        <v>203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AZ2" s="42" t="s">
        <v>204</v>
      </c>
    </row>
    <row r="3" s="18" customFormat="1" ht="16.5" customHeight="1" spans="1:64">
      <c r="A3" s="2" t="s">
        <v>32</v>
      </c>
      <c r="B3" s="4" t="s">
        <v>205</v>
      </c>
      <c r="C3" s="7" t="s">
        <v>206</v>
      </c>
      <c r="D3" s="9"/>
      <c r="E3" s="9"/>
      <c r="F3" s="9"/>
      <c r="G3" s="9"/>
      <c r="H3" s="9">
        <v>12.5</v>
      </c>
      <c r="I3" s="9">
        <v>76</v>
      </c>
      <c r="J3" s="9">
        <v>25</v>
      </c>
      <c r="K3" s="9">
        <v>8</v>
      </c>
      <c r="L3" s="9">
        <v>4</v>
      </c>
      <c r="M3" s="9">
        <v>8</v>
      </c>
      <c r="N3" s="9"/>
      <c r="O3" s="9">
        <v>42</v>
      </c>
      <c r="P3" s="43">
        <f t="shared" ref="P3:P23" si="0">O3/31-N3/30</f>
        <v>1.35483870967742</v>
      </c>
      <c r="Q3" s="44"/>
      <c r="R3" s="45"/>
      <c r="S3" s="2" t="s">
        <v>207</v>
      </c>
      <c r="T3" s="4" t="s">
        <v>205</v>
      </c>
      <c r="U3" s="7" t="s">
        <v>206</v>
      </c>
      <c r="V3" s="9"/>
      <c r="W3" s="9"/>
      <c r="X3" s="9"/>
      <c r="Y3" s="9"/>
      <c r="Z3" s="9"/>
      <c r="AA3" s="9">
        <v>103.31</v>
      </c>
      <c r="AB3" s="9">
        <v>112.36</v>
      </c>
      <c r="AC3" s="9">
        <v>333.57</v>
      </c>
      <c r="AD3" s="14">
        <v>106.14</v>
      </c>
      <c r="AE3" s="14">
        <v>20.01</v>
      </c>
      <c r="AF3" s="9">
        <v>9.63</v>
      </c>
      <c r="AG3" s="9"/>
      <c r="AH3" s="46">
        <f t="shared" ref="AH3:AH23" si="1">AG3/31-AF3/30</f>
        <v>-0.321</v>
      </c>
      <c r="AI3" s="44"/>
      <c r="AJ3" s="45"/>
      <c r="AK3" s="2" t="s">
        <v>173</v>
      </c>
      <c r="AL3" s="4" t="s">
        <v>205</v>
      </c>
      <c r="AM3" s="7" t="s">
        <v>206</v>
      </c>
      <c r="AN3" s="9">
        <v>112</v>
      </c>
      <c r="AO3" s="9">
        <v>55</v>
      </c>
      <c r="AP3" s="9">
        <v>149</v>
      </c>
      <c r="AQ3" s="9">
        <v>112.5</v>
      </c>
      <c r="AR3" s="9">
        <v>63</v>
      </c>
      <c r="AS3" s="9">
        <v>63.5</v>
      </c>
      <c r="AT3" s="9">
        <v>292.62</v>
      </c>
      <c r="AU3" s="9">
        <v>920.24</v>
      </c>
      <c r="AV3" s="14">
        <v>1050.23</v>
      </c>
      <c r="AW3" s="14">
        <v>894.02</v>
      </c>
      <c r="AX3" s="9">
        <v>649.26</v>
      </c>
      <c r="AY3" s="16">
        <v>987.05</v>
      </c>
      <c r="AZ3" s="32">
        <f t="shared" ref="AZ3:AZ23" si="2">AY3/31-AW3/30</f>
        <v>2.0396559139785</v>
      </c>
    </row>
    <row r="4" s="18" customFormat="1" ht="16.5" customHeight="1" spans="1:64">
      <c r="A4" s="2"/>
      <c r="B4" s="4" t="s">
        <v>208</v>
      </c>
      <c r="C4" s="8" t="s">
        <v>209</v>
      </c>
      <c r="D4" s="9">
        <v>264.5</v>
      </c>
      <c r="E4" s="9">
        <v>258</v>
      </c>
      <c r="F4" s="9">
        <v>165.5</v>
      </c>
      <c r="G4" s="9">
        <v>115.5</v>
      </c>
      <c r="H4" s="9">
        <v>721.09</v>
      </c>
      <c r="I4" s="9">
        <v>237</v>
      </c>
      <c r="J4" s="9">
        <v>427</v>
      </c>
      <c r="K4" s="9">
        <v>361.5</v>
      </c>
      <c r="L4" s="9">
        <v>392</v>
      </c>
      <c r="M4" s="9">
        <v>329.5</v>
      </c>
      <c r="N4" s="9">
        <v>147</v>
      </c>
      <c r="O4" s="9">
        <v>3490.6</v>
      </c>
      <c r="P4" s="43">
        <f t="shared" si="0"/>
        <v>107.7</v>
      </c>
      <c r="Q4" s="44"/>
      <c r="R4" s="45"/>
      <c r="S4" s="2"/>
      <c r="T4" s="4" t="s">
        <v>208</v>
      </c>
      <c r="U4" s="8" t="s">
        <v>209</v>
      </c>
      <c r="V4" s="9"/>
      <c r="W4" s="9"/>
      <c r="X4" s="9"/>
      <c r="Y4" s="9">
        <v>114</v>
      </c>
      <c r="Z4" s="9">
        <v>210</v>
      </c>
      <c r="AA4" s="9">
        <v>551.29</v>
      </c>
      <c r="AB4" s="9">
        <v>891.53</v>
      </c>
      <c r="AC4" s="9">
        <v>495.12</v>
      </c>
      <c r="AD4" s="9">
        <v>198.79</v>
      </c>
      <c r="AE4" s="9">
        <v>227.94</v>
      </c>
      <c r="AF4" s="9">
        <v>262.61</v>
      </c>
      <c r="AG4" s="9">
        <v>209.01</v>
      </c>
      <c r="AH4" s="46">
        <f t="shared" si="1"/>
        <v>-2.01140860215054</v>
      </c>
      <c r="AI4" s="44"/>
      <c r="AJ4" s="45"/>
      <c r="AK4" s="2"/>
      <c r="AL4" s="4" t="s">
        <v>208</v>
      </c>
      <c r="AM4" s="8" t="s">
        <v>209</v>
      </c>
      <c r="AN4" s="9">
        <v>1133.9</v>
      </c>
      <c r="AO4" s="9">
        <v>1251.61</v>
      </c>
      <c r="AP4" s="9">
        <v>1703.15</v>
      </c>
      <c r="AQ4" s="9">
        <v>1808.09</v>
      </c>
      <c r="AR4" s="9">
        <v>2019.67</v>
      </c>
      <c r="AS4" s="9">
        <v>2403.98</v>
      </c>
      <c r="AT4" s="9">
        <v>2616.22</v>
      </c>
      <c r="AU4" s="9">
        <v>2204.75</v>
      </c>
      <c r="AV4" s="9">
        <v>2169.79</v>
      </c>
      <c r="AW4" s="9">
        <v>2022.51</v>
      </c>
      <c r="AX4" s="9">
        <v>1824.92</v>
      </c>
      <c r="AY4" s="9">
        <v>1671.2</v>
      </c>
      <c r="AZ4" s="32">
        <f t="shared" si="2"/>
        <v>-13.5073225806452</v>
      </c>
      <c r="BG4" s="47"/>
      <c r="BH4" s="47"/>
    </row>
    <row r="5" s="18" customFormat="1" ht="16.5" customHeight="1" spans="1:64">
      <c r="A5" s="2"/>
      <c r="B5" s="4" t="s">
        <v>210</v>
      </c>
      <c r="C5" s="8" t="s">
        <v>211</v>
      </c>
      <c r="D5" s="9">
        <v>2174.5</v>
      </c>
      <c r="E5" s="9">
        <v>2750</v>
      </c>
      <c r="F5" s="9">
        <v>4262</v>
      </c>
      <c r="G5" s="9">
        <v>5829.6</v>
      </c>
      <c r="H5" s="9">
        <v>6809.73</v>
      </c>
      <c r="I5" s="9">
        <v>6248.32</v>
      </c>
      <c r="J5" s="9">
        <v>6236.8</v>
      </c>
      <c r="K5" s="9">
        <v>5967.07</v>
      </c>
      <c r="L5" s="9">
        <v>7341.28</v>
      </c>
      <c r="M5" s="9">
        <v>5229.6</v>
      </c>
      <c r="N5" s="9">
        <v>3470.1</v>
      </c>
      <c r="O5" s="15">
        <v>23384</v>
      </c>
      <c r="P5" s="48">
        <f t="shared" si="0"/>
        <v>638.652580645161</v>
      </c>
      <c r="Q5" s="44"/>
      <c r="R5" s="45"/>
      <c r="S5" s="2"/>
      <c r="T5" s="4" t="s">
        <v>210</v>
      </c>
      <c r="U5" s="8" t="s">
        <v>211</v>
      </c>
      <c r="V5" s="9"/>
      <c r="W5" s="9"/>
      <c r="X5" s="9">
        <v>1264.6</v>
      </c>
      <c r="Y5" s="9">
        <v>4186.6</v>
      </c>
      <c r="Z5" s="9">
        <v>4445.1</v>
      </c>
      <c r="AA5" s="9">
        <v>5218.22</v>
      </c>
      <c r="AB5" s="9">
        <v>5480.88</v>
      </c>
      <c r="AC5" s="9">
        <v>4675.3</v>
      </c>
      <c r="AD5" s="9">
        <v>4508.96</v>
      </c>
      <c r="AE5" s="9">
        <v>4489.69</v>
      </c>
      <c r="AF5" s="9">
        <v>4538.74</v>
      </c>
      <c r="AG5" s="15">
        <v>5131.28</v>
      </c>
      <c r="AH5" s="49">
        <f t="shared" si="1"/>
        <v>14.2338279569893</v>
      </c>
      <c r="AI5" s="44"/>
      <c r="AJ5" s="45"/>
      <c r="AK5" s="2"/>
      <c r="AL5" s="4" t="s">
        <v>210</v>
      </c>
      <c r="AM5" s="8" t="s">
        <v>211</v>
      </c>
      <c r="AN5" s="9">
        <v>8265.39</v>
      </c>
      <c r="AO5" s="9">
        <v>7263.14</v>
      </c>
      <c r="AP5" s="9">
        <v>10478</v>
      </c>
      <c r="AQ5" s="9">
        <v>13058.02</v>
      </c>
      <c r="AR5" s="9">
        <v>13842.04</v>
      </c>
      <c r="AS5" s="9">
        <v>14383.59</v>
      </c>
      <c r="AT5" s="9">
        <v>17049.01</v>
      </c>
      <c r="AU5" s="9">
        <v>16610.75</v>
      </c>
      <c r="AV5" s="9">
        <v>17270.86</v>
      </c>
      <c r="AW5" s="9">
        <v>13792.3</v>
      </c>
      <c r="AX5" s="9">
        <v>13954.37</v>
      </c>
      <c r="AY5" s="9">
        <v>14266.4</v>
      </c>
      <c r="AZ5" s="32">
        <f t="shared" si="2"/>
        <v>0.463118279569926</v>
      </c>
      <c r="BG5" s="50"/>
      <c r="BH5" s="51"/>
      <c r="BL5" s="51"/>
    </row>
    <row r="6" s="18" customFormat="1" ht="16.5" customHeight="1" spans="1:64">
      <c r="A6" s="2"/>
      <c r="B6" s="4" t="s">
        <v>212</v>
      </c>
      <c r="C6" s="8" t="s">
        <v>213</v>
      </c>
      <c r="D6" s="9">
        <v>15392.5</v>
      </c>
      <c r="E6" s="9">
        <v>15147.67</v>
      </c>
      <c r="F6" s="9">
        <v>19091.5</v>
      </c>
      <c r="G6" s="9">
        <v>22408.5</v>
      </c>
      <c r="H6" s="9">
        <v>24325.97</v>
      </c>
      <c r="I6" s="9">
        <v>20342.54</v>
      </c>
      <c r="J6" s="9">
        <v>28319.21</v>
      </c>
      <c r="K6" s="9">
        <v>20438.52</v>
      </c>
      <c r="L6" s="9">
        <v>19680.84</v>
      </c>
      <c r="M6" s="9">
        <v>18517.43</v>
      </c>
      <c r="N6" s="9">
        <v>18834.2</v>
      </c>
      <c r="O6" s="9">
        <v>33219.53</v>
      </c>
      <c r="P6" s="43">
        <f t="shared" si="0"/>
        <v>443.791075268817</v>
      </c>
      <c r="Q6" s="44"/>
      <c r="R6" s="45"/>
      <c r="S6" s="2"/>
      <c r="T6" s="4" t="s">
        <v>212</v>
      </c>
      <c r="U6" s="8" t="s">
        <v>213</v>
      </c>
      <c r="V6" s="9"/>
      <c r="W6" s="9"/>
      <c r="X6" s="9">
        <v>4897.3</v>
      </c>
      <c r="Y6" s="9">
        <v>15761.6</v>
      </c>
      <c r="Z6" s="9">
        <v>14560.32</v>
      </c>
      <c r="AA6" s="9">
        <v>14015.36</v>
      </c>
      <c r="AB6" s="9">
        <v>19293.95</v>
      </c>
      <c r="AC6" s="9">
        <v>17296.28</v>
      </c>
      <c r="AD6" s="9">
        <v>14717.27</v>
      </c>
      <c r="AE6" s="9">
        <v>13992.18</v>
      </c>
      <c r="AF6" s="9">
        <v>12980.28</v>
      </c>
      <c r="AG6" s="15">
        <v>13826.16</v>
      </c>
      <c r="AH6" s="49">
        <f t="shared" si="1"/>
        <v>13.3291612903225</v>
      </c>
      <c r="AI6" s="44"/>
      <c r="AJ6" s="45"/>
      <c r="AK6" s="2"/>
      <c r="AL6" s="24" t="s">
        <v>212</v>
      </c>
      <c r="AM6" s="8" t="s">
        <v>213</v>
      </c>
      <c r="AN6" s="9">
        <v>25565.39</v>
      </c>
      <c r="AO6" s="9">
        <v>27054.78</v>
      </c>
      <c r="AP6" s="9">
        <v>34997.87</v>
      </c>
      <c r="AQ6" s="9">
        <v>37345.1</v>
      </c>
      <c r="AR6" s="9">
        <v>38760.7</v>
      </c>
      <c r="AS6" s="9">
        <v>34234.95</v>
      </c>
      <c r="AT6" s="9">
        <v>47304.4</v>
      </c>
      <c r="AU6" s="9">
        <v>46187.35</v>
      </c>
      <c r="AV6" s="9">
        <v>42038.83</v>
      </c>
      <c r="AW6" s="9">
        <v>37820.64</v>
      </c>
      <c r="AX6" s="9">
        <v>35098.76</v>
      </c>
      <c r="AY6" s="9">
        <v>36454.15</v>
      </c>
      <c r="AZ6" s="52">
        <f t="shared" si="2"/>
        <v>-84.7476774193547</v>
      </c>
      <c r="BG6" s="50"/>
      <c r="BH6" s="51"/>
      <c r="BL6" s="51"/>
    </row>
    <row r="7" s="18" customFormat="1" ht="16.5" customHeight="1" spans="1:64">
      <c r="A7" s="2"/>
      <c r="B7" s="4" t="s">
        <v>214</v>
      </c>
      <c r="C7" s="8" t="s">
        <v>215</v>
      </c>
      <c r="D7" s="9">
        <v>25286.78</v>
      </c>
      <c r="E7" s="9">
        <v>23655.43</v>
      </c>
      <c r="F7" s="9">
        <v>28832</v>
      </c>
      <c r="G7" s="9">
        <v>28930.4</v>
      </c>
      <c r="H7" s="9">
        <v>31840.22</v>
      </c>
      <c r="I7" s="9">
        <v>25817.63</v>
      </c>
      <c r="J7" s="9">
        <v>31319.13</v>
      </c>
      <c r="K7" s="9">
        <v>28277.4</v>
      </c>
      <c r="L7" s="9">
        <v>24741.73</v>
      </c>
      <c r="M7" s="9">
        <v>24164.8</v>
      </c>
      <c r="N7" s="9">
        <v>24647.63</v>
      </c>
      <c r="O7" s="9">
        <v>22725.18</v>
      </c>
      <c r="P7" s="43">
        <f t="shared" si="0"/>
        <v>-88.5173440860215</v>
      </c>
      <c r="Q7" s="44"/>
      <c r="R7" s="45"/>
      <c r="S7" s="2"/>
      <c r="T7" s="4" t="s">
        <v>214</v>
      </c>
      <c r="U7" s="8" t="s">
        <v>215</v>
      </c>
      <c r="V7" s="9"/>
      <c r="W7" s="9"/>
      <c r="X7" s="9">
        <v>7671</v>
      </c>
      <c r="Y7" s="9">
        <v>23156.9</v>
      </c>
      <c r="Z7" s="9">
        <v>20848.54</v>
      </c>
      <c r="AA7" s="9">
        <v>21668.61</v>
      </c>
      <c r="AB7" s="9">
        <v>26806.74</v>
      </c>
      <c r="AC7" s="9">
        <v>26506.52</v>
      </c>
      <c r="AD7" s="9">
        <v>21423.68</v>
      </c>
      <c r="AE7" s="9">
        <v>21284.4</v>
      </c>
      <c r="AF7" s="9">
        <v>19632.57</v>
      </c>
      <c r="AG7" s="15">
        <v>22150.88</v>
      </c>
      <c r="AH7" s="49">
        <f t="shared" si="1"/>
        <v>60.1255161290323</v>
      </c>
      <c r="AI7" s="44"/>
      <c r="AJ7" s="45"/>
      <c r="AK7" s="2"/>
      <c r="AL7" s="24" t="s">
        <v>214</v>
      </c>
      <c r="AM7" s="8" t="s">
        <v>215</v>
      </c>
      <c r="AN7" s="9">
        <v>49572.86</v>
      </c>
      <c r="AO7" s="9">
        <v>48613.68</v>
      </c>
      <c r="AP7" s="9">
        <v>52207.39</v>
      </c>
      <c r="AQ7" s="9">
        <v>50598.23</v>
      </c>
      <c r="AR7" s="9">
        <v>53252.87</v>
      </c>
      <c r="AS7" s="9">
        <v>48768.51</v>
      </c>
      <c r="AT7" s="9">
        <v>62219.06</v>
      </c>
      <c r="AU7" s="9">
        <v>63854.81</v>
      </c>
      <c r="AV7" s="9">
        <v>54902.56</v>
      </c>
      <c r="AW7" s="9">
        <v>58656.67</v>
      </c>
      <c r="AX7" s="9">
        <v>55219.34</v>
      </c>
      <c r="AY7" s="9">
        <v>58121.76</v>
      </c>
      <c r="AZ7" s="52">
        <f t="shared" si="2"/>
        <v>-80.3268494623655</v>
      </c>
      <c r="BG7" s="50"/>
      <c r="BH7" s="51"/>
      <c r="BL7" s="51"/>
    </row>
    <row r="8" s="18" customFormat="1" ht="16.5" customHeight="1" spans="1:64">
      <c r="A8" s="2"/>
      <c r="B8" s="4" t="s">
        <v>216</v>
      </c>
      <c r="C8" s="8" t="s">
        <v>217</v>
      </c>
      <c r="D8" s="9">
        <v>18670.5</v>
      </c>
      <c r="E8" s="9">
        <v>17627</v>
      </c>
      <c r="F8" s="9">
        <v>18617</v>
      </c>
      <c r="G8" s="9">
        <v>16214.4</v>
      </c>
      <c r="H8" s="9">
        <v>18028.7</v>
      </c>
      <c r="I8" s="9">
        <v>15211.6</v>
      </c>
      <c r="J8" s="9">
        <v>19147.36</v>
      </c>
      <c r="K8" s="9">
        <v>17669.58</v>
      </c>
      <c r="L8" s="9">
        <v>13192.66</v>
      </c>
      <c r="M8" s="9">
        <v>16067.23</v>
      </c>
      <c r="N8" s="9">
        <v>17710.23</v>
      </c>
      <c r="O8" s="9">
        <v>10853.49</v>
      </c>
      <c r="P8" s="43">
        <f t="shared" si="0"/>
        <v>-240.228419354839</v>
      </c>
      <c r="Q8" s="44"/>
      <c r="R8" s="45"/>
      <c r="S8" s="2"/>
      <c r="T8" s="4" t="s">
        <v>216</v>
      </c>
      <c r="U8" s="8" t="s">
        <v>217</v>
      </c>
      <c r="V8" s="9"/>
      <c r="W8" s="9"/>
      <c r="X8" s="9">
        <v>3978</v>
      </c>
      <c r="Y8" s="9">
        <v>12030.2</v>
      </c>
      <c r="Z8" s="9">
        <v>10980.3</v>
      </c>
      <c r="AA8" s="9">
        <v>12308.77</v>
      </c>
      <c r="AB8" s="9">
        <v>14059.5</v>
      </c>
      <c r="AC8" s="9">
        <v>15369.51</v>
      </c>
      <c r="AD8" s="9">
        <v>9614.6</v>
      </c>
      <c r="AE8" s="9">
        <v>12879.78</v>
      </c>
      <c r="AF8" s="9">
        <v>10455.23</v>
      </c>
      <c r="AG8" s="15">
        <v>11993.79</v>
      </c>
      <c r="AH8" s="49">
        <f t="shared" si="1"/>
        <v>38.3887849462366</v>
      </c>
      <c r="AI8" s="44"/>
      <c r="AJ8" s="45"/>
      <c r="AK8" s="2"/>
      <c r="AL8" s="24" t="s">
        <v>216</v>
      </c>
      <c r="AM8" s="8" t="s">
        <v>217</v>
      </c>
      <c r="AN8" s="9">
        <v>46423.74</v>
      </c>
      <c r="AO8" s="9">
        <v>45123.73</v>
      </c>
      <c r="AP8" s="9">
        <v>39947.99</v>
      </c>
      <c r="AQ8" s="9">
        <v>35714.67</v>
      </c>
      <c r="AR8" s="9">
        <v>40527.36</v>
      </c>
      <c r="AS8" s="9">
        <v>36069.66</v>
      </c>
      <c r="AT8" s="9">
        <v>47075.86</v>
      </c>
      <c r="AU8" s="9">
        <v>53213.35</v>
      </c>
      <c r="AV8" s="9">
        <v>37809.89</v>
      </c>
      <c r="AW8" s="9">
        <v>44549.88</v>
      </c>
      <c r="AX8" s="9">
        <v>42147.09</v>
      </c>
      <c r="AY8" s="9">
        <v>43019.85</v>
      </c>
      <c r="AZ8" s="52">
        <f t="shared" si="2"/>
        <v>-97.2589032258063</v>
      </c>
      <c r="BG8" s="50"/>
      <c r="BH8" s="51"/>
      <c r="BL8" s="51"/>
    </row>
    <row r="9" s="18" customFormat="1" ht="16.5" customHeight="1" spans="1:64">
      <c r="A9" s="2"/>
      <c r="B9" s="4" t="s">
        <v>218</v>
      </c>
      <c r="C9" s="8" t="s">
        <v>219</v>
      </c>
      <c r="D9" s="9">
        <v>11735.52</v>
      </c>
      <c r="E9" s="9">
        <v>11096</v>
      </c>
      <c r="F9" s="9">
        <v>10288</v>
      </c>
      <c r="G9" s="9">
        <v>8339</v>
      </c>
      <c r="H9" s="9">
        <v>9503.7</v>
      </c>
      <c r="I9" s="9">
        <v>8667.78</v>
      </c>
      <c r="J9" s="9">
        <v>9920.23</v>
      </c>
      <c r="K9" s="9">
        <v>8412.23</v>
      </c>
      <c r="L9" s="9">
        <v>6821.4</v>
      </c>
      <c r="M9" s="9">
        <v>6784.77</v>
      </c>
      <c r="N9" s="9">
        <v>8751</v>
      </c>
      <c r="O9" s="9">
        <v>10542.65</v>
      </c>
      <c r="P9" s="43">
        <f t="shared" si="0"/>
        <v>48.3854838709677</v>
      </c>
      <c r="Q9" s="44"/>
      <c r="R9" s="45"/>
      <c r="S9" s="2"/>
      <c r="T9" s="4" t="s">
        <v>218</v>
      </c>
      <c r="U9" s="8" t="s">
        <v>219</v>
      </c>
      <c r="V9" s="9"/>
      <c r="W9" s="9"/>
      <c r="X9" s="9">
        <v>1992.2</v>
      </c>
      <c r="Y9" s="9">
        <v>5934</v>
      </c>
      <c r="Z9" s="9">
        <v>5548.84</v>
      </c>
      <c r="AA9" s="9">
        <v>7024.85</v>
      </c>
      <c r="AB9" s="9">
        <v>8444.95</v>
      </c>
      <c r="AC9" s="9">
        <v>8296.6</v>
      </c>
      <c r="AD9" s="9">
        <v>6347.13</v>
      </c>
      <c r="AE9" s="9">
        <v>7485.87</v>
      </c>
      <c r="AF9" s="9">
        <v>6495.03</v>
      </c>
      <c r="AG9" s="15">
        <v>8284.76</v>
      </c>
      <c r="AH9" s="49">
        <f t="shared" si="1"/>
        <v>50.7493225806452</v>
      </c>
      <c r="AI9" s="44"/>
      <c r="AJ9" s="45"/>
      <c r="AK9" s="2"/>
      <c r="AL9" s="4" t="s">
        <v>218</v>
      </c>
      <c r="AM9" s="8" t="s">
        <v>219</v>
      </c>
      <c r="AN9" s="9">
        <v>27108.57</v>
      </c>
      <c r="AO9" s="9">
        <v>26056.2</v>
      </c>
      <c r="AP9" s="9">
        <v>22107.74</v>
      </c>
      <c r="AQ9" s="9">
        <v>18037.97</v>
      </c>
      <c r="AR9" s="9">
        <v>20868.99</v>
      </c>
      <c r="AS9" s="9">
        <v>20689.19</v>
      </c>
      <c r="AT9" s="9">
        <v>26572.11</v>
      </c>
      <c r="AU9" s="9">
        <v>32696.98</v>
      </c>
      <c r="AV9" s="9">
        <v>23898.08</v>
      </c>
      <c r="AW9" s="9">
        <v>25282.05</v>
      </c>
      <c r="AX9" s="9">
        <v>24249.9</v>
      </c>
      <c r="AY9" s="9">
        <v>28699.33</v>
      </c>
      <c r="AZ9" s="32">
        <f t="shared" si="2"/>
        <v>83.0498387096775</v>
      </c>
      <c r="BG9" s="50"/>
      <c r="BH9" s="51"/>
      <c r="BL9" s="51"/>
    </row>
    <row r="10" s="18" customFormat="1" ht="16.5" customHeight="1" spans="1:64">
      <c r="A10" s="2"/>
      <c r="B10" s="4" t="s">
        <v>220</v>
      </c>
      <c r="C10" s="8" t="s">
        <v>221</v>
      </c>
      <c r="D10" s="9">
        <v>8210.94</v>
      </c>
      <c r="E10" s="9">
        <v>8265</v>
      </c>
      <c r="F10" s="9">
        <v>7918</v>
      </c>
      <c r="G10" s="9">
        <v>7238.96</v>
      </c>
      <c r="H10" s="9">
        <v>6515.41</v>
      </c>
      <c r="I10" s="9">
        <v>5364.97</v>
      </c>
      <c r="J10" s="9">
        <v>5705.98</v>
      </c>
      <c r="K10" s="9">
        <v>5673.53</v>
      </c>
      <c r="L10" s="9">
        <v>7021.6</v>
      </c>
      <c r="M10" s="9">
        <v>7761.2</v>
      </c>
      <c r="N10" s="9">
        <v>6904.24</v>
      </c>
      <c r="O10" s="15">
        <v>23942.3</v>
      </c>
      <c r="P10" s="48">
        <f t="shared" si="0"/>
        <v>542.190924731183</v>
      </c>
      <c r="Q10" s="44"/>
      <c r="R10" s="45"/>
      <c r="S10" s="2"/>
      <c r="T10" s="4" t="s">
        <v>220</v>
      </c>
      <c r="U10" s="8" t="s">
        <v>221</v>
      </c>
      <c r="V10" s="9"/>
      <c r="W10" s="9"/>
      <c r="X10" s="9">
        <v>4160.4</v>
      </c>
      <c r="Y10" s="9">
        <v>10335</v>
      </c>
      <c r="Z10" s="9">
        <v>10271.8</v>
      </c>
      <c r="AA10" s="9">
        <v>11346.95</v>
      </c>
      <c r="AB10" s="9">
        <v>12901.7</v>
      </c>
      <c r="AC10" s="9">
        <v>12498.66</v>
      </c>
      <c r="AD10" s="9">
        <v>10036.43</v>
      </c>
      <c r="AE10" s="9">
        <v>11473.04</v>
      </c>
      <c r="AF10" s="9">
        <v>13947.04</v>
      </c>
      <c r="AG10" s="15">
        <v>20079.82</v>
      </c>
      <c r="AH10" s="49">
        <f t="shared" si="1"/>
        <v>182.834795698925</v>
      </c>
      <c r="AI10" s="44"/>
      <c r="AJ10" s="45"/>
      <c r="AK10" s="2"/>
      <c r="AL10" s="20" t="s">
        <v>220</v>
      </c>
      <c r="AM10" s="8" t="s">
        <v>221</v>
      </c>
      <c r="AN10" s="9">
        <v>50103.87</v>
      </c>
      <c r="AO10" s="9">
        <v>46767.11</v>
      </c>
      <c r="AP10" s="9">
        <v>58937.28</v>
      </c>
      <c r="AQ10" s="9">
        <v>57175.59</v>
      </c>
      <c r="AR10" s="9">
        <v>57163.09</v>
      </c>
      <c r="AS10" s="9">
        <v>57796.04</v>
      </c>
      <c r="AT10" s="9">
        <v>65946.91</v>
      </c>
      <c r="AU10" s="9">
        <v>70590.42</v>
      </c>
      <c r="AV10" s="9">
        <v>67970.48</v>
      </c>
      <c r="AW10" s="9">
        <v>60914.04</v>
      </c>
      <c r="AX10" s="9">
        <v>63793.4</v>
      </c>
      <c r="AY10" s="15">
        <v>73655.68</v>
      </c>
      <c r="AZ10" s="53">
        <f t="shared" si="2"/>
        <v>345.521677419354</v>
      </c>
      <c r="BG10" s="50"/>
      <c r="BH10" s="51"/>
      <c r="BL10" s="51"/>
    </row>
    <row r="11" s="18" customFormat="1" ht="16.5" customHeight="1" spans="1:64">
      <c r="A11" s="2"/>
      <c r="B11" s="4" t="s">
        <v>222</v>
      </c>
      <c r="C11" s="8" t="s">
        <v>223</v>
      </c>
      <c r="D11" s="9">
        <v>18622</v>
      </c>
      <c r="E11" s="9">
        <v>17072</v>
      </c>
      <c r="F11" s="9">
        <v>17233.5</v>
      </c>
      <c r="G11" s="9">
        <v>15651</v>
      </c>
      <c r="H11" s="9">
        <v>14189.24</v>
      </c>
      <c r="I11" s="9">
        <v>12515.88</v>
      </c>
      <c r="J11" s="9">
        <v>16664.47</v>
      </c>
      <c r="K11" s="9">
        <v>12408.1</v>
      </c>
      <c r="L11" s="9">
        <v>11512.8</v>
      </c>
      <c r="M11" s="9">
        <v>12941.1</v>
      </c>
      <c r="N11" s="9">
        <v>17161.9</v>
      </c>
      <c r="O11" s="9">
        <v>6292.9</v>
      </c>
      <c r="P11" s="43">
        <f t="shared" si="0"/>
        <v>-369.066559139785</v>
      </c>
      <c r="Q11" s="44"/>
      <c r="R11" s="45"/>
      <c r="S11" s="2"/>
      <c r="T11" s="4" t="s">
        <v>222</v>
      </c>
      <c r="U11" s="8" t="s">
        <v>223</v>
      </c>
      <c r="V11" s="9"/>
      <c r="W11" s="9"/>
      <c r="X11" s="9">
        <v>6061.1</v>
      </c>
      <c r="Y11" s="9">
        <v>21336.7</v>
      </c>
      <c r="Z11" s="9">
        <v>19676.3</v>
      </c>
      <c r="AA11" s="9">
        <v>19358.61</v>
      </c>
      <c r="AB11" s="9">
        <v>25775.17</v>
      </c>
      <c r="AC11" s="9">
        <v>19626.65</v>
      </c>
      <c r="AD11" s="9">
        <v>17476.12</v>
      </c>
      <c r="AE11" s="9">
        <v>17346.56</v>
      </c>
      <c r="AF11" s="9">
        <v>18984.01</v>
      </c>
      <c r="AG11" s="15">
        <v>23695</v>
      </c>
      <c r="AH11" s="49">
        <f t="shared" si="1"/>
        <v>131.554505376344</v>
      </c>
      <c r="AI11" s="44"/>
      <c r="AJ11" s="45"/>
      <c r="AK11" s="2"/>
      <c r="AL11" s="20" t="s">
        <v>222</v>
      </c>
      <c r="AM11" s="8" t="s">
        <v>223</v>
      </c>
      <c r="AN11" s="9">
        <v>73019</v>
      </c>
      <c r="AO11" s="9">
        <v>63498.77</v>
      </c>
      <c r="AP11" s="9">
        <v>81339.21</v>
      </c>
      <c r="AQ11" s="9">
        <v>76941.11</v>
      </c>
      <c r="AR11" s="9">
        <v>71728.51</v>
      </c>
      <c r="AS11" s="9">
        <v>70609.28</v>
      </c>
      <c r="AT11" s="9">
        <v>73921.49</v>
      </c>
      <c r="AU11" s="9">
        <v>74087.77</v>
      </c>
      <c r="AV11" s="9">
        <v>78027.2</v>
      </c>
      <c r="AW11" s="9">
        <v>77063.71</v>
      </c>
      <c r="AX11" s="9">
        <v>78818.07</v>
      </c>
      <c r="AY11" s="15">
        <v>86449.45</v>
      </c>
      <c r="AZ11" s="53">
        <f t="shared" si="2"/>
        <v>219.901602150538</v>
      </c>
      <c r="BG11" s="50"/>
      <c r="BH11" s="51"/>
      <c r="BL11" s="51"/>
    </row>
    <row r="12" s="18" customFormat="1" ht="16.5" customHeight="1" spans="1:64">
      <c r="A12" s="2"/>
      <c r="B12" s="4" t="s">
        <v>224</v>
      </c>
      <c r="C12" s="8" t="s">
        <v>225</v>
      </c>
      <c r="D12" s="9">
        <v>5153.83</v>
      </c>
      <c r="E12" s="9">
        <v>5334</v>
      </c>
      <c r="F12" s="9">
        <v>4183</v>
      </c>
      <c r="G12" s="9">
        <v>3843.5</v>
      </c>
      <c r="H12" s="9">
        <v>4380.56</v>
      </c>
      <c r="I12" s="9">
        <v>3337.89</v>
      </c>
      <c r="J12" s="9">
        <v>3426.17</v>
      </c>
      <c r="K12" s="9">
        <v>3044.23</v>
      </c>
      <c r="L12" s="9">
        <v>3110.2</v>
      </c>
      <c r="M12" s="9">
        <v>3129.63</v>
      </c>
      <c r="N12" s="9">
        <v>4295.2</v>
      </c>
      <c r="O12" s="9">
        <v>2399.69</v>
      </c>
      <c r="P12" s="43">
        <f t="shared" si="0"/>
        <v>-65.7639784946236</v>
      </c>
      <c r="Q12" s="44"/>
      <c r="R12" s="45"/>
      <c r="S12" s="2"/>
      <c r="T12" s="4" t="s">
        <v>224</v>
      </c>
      <c r="U12" s="8" t="s">
        <v>225</v>
      </c>
      <c r="V12" s="9"/>
      <c r="W12" s="9"/>
      <c r="X12" s="9">
        <v>1794.3</v>
      </c>
      <c r="Y12" s="9">
        <v>6621.4</v>
      </c>
      <c r="Z12" s="9">
        <v>6507.8</v>
      </c>
      <c r="AA12" s="9">
        <v>6372.19</v>
      </c>
      <c r="AB12" s="9">
        <v>7236.65</v>
      </c>
      <c r="AC12" s="9">
        <v>6708.22</v>
      </c>
      <c r="AD12" s="9">
        <v>5377.53</v>
      </c>
      <c r="AE12" s="9">
        <v>6959.81</v>
      </c>
      <c r="AF12" s="9">
        <v>6561.8</v>
      </c>
      <c r="AG12" s="15">
        <v>7946.73</v>
      </c>
      <c r="AH12" s="49">
        <f t="shared" si="1"/>
        <v>37.6194623655914</v>
      </c>
      <c r="AI12" s="44"/>
      <c r="AJ12" s="45"/>
      <c r="AK12" s="2"/>
      <c r="AL12" s="20" t="s">
        <v>224</v>
      </c>
      <c r="AM12" s="8" t="s">
        <v>225</v>
      </c>
      <c r="AN12" s="9">
        <v>29708.59</v>
      </c>
      <c r="AO12" s="9">
        <v>26740.65</v>
      </c>
      <c r="AP12" s="9">
        <v>30324.78</v>
      </c>
      <c r="AQ12" s="9">
        <v>23984.62</v>
      </c>
      <c r="AR12" s="9">
        <v>24782.2</v>
      </c>
      <c r="AS12" s="9">
        <v>22897.93</v>
      </c>
      <c r="AT12" s="9">
        <v>25587.81</v>
      </c>
      <c r="AU12" s="9">
        <v>26062.52</v>
      </c>
      <c r="AV12" s="9">
        <v>25263.18</v>
      </c>
      <c r="AW12" s="9">
        <v>26369.74</v>
      </c>
      <c r="AX12" s="9">
        <v>27151.22</v>
      </c>
      <c r="AY12" s="15">
        <v>29204.71</v>
      </c>
      <c r="AZ12" s="53">
        <f t="shared" si="2"/>
        <v>63.0960860215052</v>
      </c>
      <c r="BG12" s="50"/>
      <c r="BH12" s="51"/>
      <c r="BL12" s="51"/>
    </row>
    <row r="13" s="18" customFormat="1" ht="16.5" customHeight="1" spans="1:64">
      <c r="A13" s="2"/>
      <c r="B13" s="4" t="s">
        <v>226</v>
      </c>
      <c r="C13" s="8" t="s">
        <v>227</v>
      </c>
      <c r="D13" s="9">
        <v>2276.5</v>
      </c>
      <c r="E13" s="9">
        <v>2021.5</v>
      </c>
      <c r="F13" s="9">
        <v>1714</v>
      </c>
      <c r="G13" s="9">
        <v>1810</v>
      </c>
      <c r="H13" s="9">
        <v>1428.77</v>
      </c>
      <c r="I13" s="9">
        <v>1323</v>
      </c>
      <c r="J13" s="9">
        <v>1034.19</v>
      </c>
      <c r="K13" s="9">
        <v>1153.83</v>
      </c>
      <c r="L13" s="9">
        <v>1175.1</v>
      </c>
      <c r="M13" s="9">
        <v>1180.1</v>
      </c>
      <c r="N13" s="9">
        <v>1492.5</v>
      </c>
      <c r="O13" s="9">
        <v>1395.9</v>
      </c>
      <c r="P13" s="43">
        <f t="shared" si="0"/>
        <v>-4.72096774193548</v>
      </c>
      <c r="Q13" s="44"/>
      <c r="R13" s="45"/>
      <c r="S13" s="2"/>
      <c r="T13" s="4" t="s">
        <v>226</v>
      </c>
      <c r="U13" s="8" t="s">
        <v>227</v>
      </c>
      <c r="V13" s="9"/>
      <c r="W13" s="9"/>
      <c r="X13" s="9">
        <v>947.4</v>
      </c>
      <c r="Y13" s="9">
        <v>3646.4</v>
      </c>
      <c r="Z13" s="9">
        <v>2932.01</v>
      </c>
      <c r="AA13" s="9">
        <v>4118.17</v>
      </c>
      <c r="AB13" s="9">
        <v>3796.05</v>
      </c>
      <c r="AC13" s="9">
        <v>3408.71</v>
      </c>
      <c r="AD13" s="9">
        <v>2874.71</v>
      </c>
      <c r="AE13" s="9">
        <v>4189.76</v>
      </c>
      <c r="AF13" s="9">
        <v>2930.11</v>
      </c>
      <c r="AG13" s="15">
        <v>3562.88</v>
      </c>
      <c r="AH13" s="49">
        <f t="shared" si="1"/>
        <v>17.2612795698925</v>
      </c>
      <c r="AI13" s="44"/>
      <c r="AJ13" s="45"/>
      <c r="AK13" s="2"/>
      <c r="AL13" s="4" t="s">
        <v>226</v>
      </c>
      <c r="AM13" s="8" t="s">
        <v>227</v>
      </c>
      <c r="AN13" s="9">
        <v>13723.51</v>
      </c>
      <c r="AO13" s="9">
        <v>11478</v>
      </c>
      <c r="AP13" s="9">
        <v>12139.28</v>
      </c>
      <c r="AQ13" s="9">
        <v>9480.86</v>
      </c>
      <c r="AR13" s="9">
        <v>10028.22</v>
      </c>
      <c r="AS13" s="9">
        <v>9143.01</v>
      </c>
      <c r="AT13" s="9">
        <v>9292.81</v>
      </c>
      <c r="AU13" s="9">
        <v>9383.15</v>
      </c>
      <c r="AV13" s="9">
        <v>8952.64</v>
      </c>
      <c r="AW13" s="9">
        <v>10755.29</v>
      </c>
      <c r="AX13" s="9">
        <v>10394.94</v>
      </c>
      <c r="AY13" s="9">
        <v>12269.92</v>
      </c>
      <c r="AZ13" s="32">
        <f t="shared" si="2"/>
        <v>37.2942043010752</v>
      </c>
      <c r="BG13" s="50"/>
      <c r="BH13" s="51"/>
      <c r="BL13" s="51"/>
    </row>
    <row r="14" s="18" customFormat="1" ht="17.25" customHeight="1" spans="1:64">
      <c r="A14" s="2"/>
      <c r="B14" s="4" t="s">
        <v>228</v>
      </c>
      <c r="C14" s="8" t="s">
        <v>229</v>
      </c>
      <c r="D14" s="9">
        <v>1248.5</v>
      </c>
      <c r="E14" s="9">
        <v>1587</v>
      </c>
      <c r="F14" s="9">
        <v>1121</v>
      </c>
      <c r="G14" s="9">
        <v>941.5</v>
      </c>
      <c r="H14" s="9">
        <v>1130.17</v>
      </c>
      <c r="I14" s="9">
        <v>810.04</v>
      </c>
      <c r="J14" s="9">
        <v>892.4</v>
      </c>
      <c r="K14" s="9">
        <v>894.67</v>
      </c>
      <c r="L14" s="9">
        <v>835</v>
      </c>
      <c r="M14" s="9">
        <v>1114.3</v>
      </c>
      <c r="N14" s="9">
        <v>1197.4</v>
      </c>
      <c r="O14" s="9">
        <v>1643.9</v>
      </c>
      <c r="P14" s="43">
        <f t="shared" si="0"/>
        <v>13.1156989247312</v>
      </c>
      <c r="Q14" s="44"/>
      <c r="R14" s="45"/>
      <c r="S14" s="2"/>
      <c r="T14" s="4" t="s">
        <v>228</v>
      </c>
      <c r="U14" s="8" t="s">
        <v>229</v>
      </c>
      <c r="V14" s="9"/>
      <c r="W14" s="9"/>
      <c r="X14" s="9">
        <v>937.9</v>
      </c>
      <c r="Y14" s="9">
        <v>2139.6</v>
      </c>
      <c r="Z14" s="9">
        <v>1687.96</v>
      </c>
      <c r="AA14" s="9">
        <v>2691.34</v>
      </c>
      <c r="AB14" s="9">
        <v>2112.77</v>
      </c>
      <c r="AC14" s="9">
        <v>2412.22</v>
      </c>
      <c r="AD14" s="9">
        <v>1911.71</v>
      </c>
      <c r="AE14" s="9">
        <v>2750.96</v>
      </c>
      <c r="AF14" s="9">
        <v>2267.22</v>
      </c>
      <c r="AG14" s="15">
        <v>2476.59</v>
      </c>
      <c r="AH14" s="49">
        <f t="shared" si="1"/>
        <v>4.316</v>
      </c>
      <c r="AI14" s="44"/>
      <c r="AJ14" s="45"/>
      <c r="AK14" s="2"/>
      <c r="AL14" s="4" t="s">
        <v>228</v>
      </c>
      <c r="AM14" s="8" t="s">
        <v>229</v>
      </c>
      <c r="AN14" s="9">
        <v>7142.58</v>
      </c>
      <c r="AO14" s="9">
        <v>6417.21</v>
      </c>
      <c r="AP14" s="9">
        <v>7317.01</v>
      </c>
      <c r="AQ14" s="9">
        <v>5736.77</v>
      </c>
      <c r="AR14" s="9">
        <v>5135.73</v>
      </c>
      <c r="AS14" s="9">
        <v>4087.94</v>
      </c>
      <c r="AT14" s="9">
        <v>4969.34</v>
      </c>
      <c r="AU14" s="9">
        <v>5645.93</v>
      </c>
      <c r="AV14" s="9">
        <v>4812.06</v>
      </c>
      <c r="AW14" s="9">
        <v>5287.64</v>
      </c>
      <c r="AX14" s="9">
        <v>4862.04</v>
      </c>
      <c r="AY14" s="9">
        <v>6279.44</v>
      </c>
      <c r="AZ14" s="32">
        <f t="shared" si="2"/>
        <v>26.3079139784946</v>
      </c>
      <c r="BG14" s="50"/>
      <c r="BH14" s="51"/>
      <c r="BL14" s="51"/>
    </row>
    <row r="15" s="18" customFormat="1" spans="1:64">
      <c r="A15" s="2"/>
      <c r="B15" s="4" t="s">
        <v>230</v>
      </c>
      <c r="C15" s="8" t="s">
        <v>231</v>
      </c>
      <c r="D15" s="9">
        <v>1062</v>
      </c>
      <c r="E15" s="9">
        <v>1880</v>
      </c>
      <c r="F15" s="9">
        <v>1502.5</v>
      </c>
      <c r="G15" s="9">
        <v>1167.5</v>
      </c>
      <c r="H15" s="9">
        <v>1199</v>
      </c>
      <c r="I15" s="9">
        <v>1241.5</v>
      </c>
      <c r="J15" s="9">
        <v>794.23</v>
      </c>
      <c r="K15" s="9">
        <v>588.4</v>
      </c>
      <c r="L15" s="9">
        <v>854.2</v>
      </c>
      <c r="M15" s="9">
        <v>1116.2</v>
      </c>
      <c r="N15" s="9">
        <v>1216.2</v>
      </c>
      <c r="O15" s="15">
        <v>3987.5</v>
      </c>
      <c r="P15" s="48">
        <f t="shared" si="0"/>
        <v>88.0890322580645</v>
      </c>
      <c r="Q15" s="44"/>
      <c r="R15" s="45"/>
      <c r="S15" s="2"/>
      <c r="T15" s="4" t="s">
        <v>230</v>
      </c>
      <c r="U15" s="8" t="s">
        <v>231</v>
      </c>
      <c r="V15" s="9"/>
      <c r="W15" s="9"/>
      <c r="X15" s="9">
        <v>532.7</v>
      </c>
      <c r="Y15" s="9">
        <v>1845.5</v>
      </c>
      <c r="Z15" s="9">
        <v>1755.63</v>
      </c>
      <c r="AA15" s="9">
        <v>1893.97</v>
      </c>
      <c r="AB15" s="9">
        <v>2050.7</v>
      </c>
      <c r="AC15" s="9">
        <v>2369.88</v>
      </c>
      <c r="AD15" s="9">
        <v>1931.37</v>
      </c>
      <c r="AE15" s="9">
        <v>2531.97</v>
      </c>
      <c r="AF15" s="9">
        <v>1804.78</v>
      </c>
      <c r="AG15" s="15">
        <v>2520.75</v>
      </c>
      <c r="AH15" s="49">
        <f t="shared" si="1"/>
        <v>21.1551827956989</v>
      </c>
      <c r="AI15" s="44"/>
      <c r="AJ15" s="45"/>
      <c r="AK15" s="2"/>
      <c r="AL15" s="4" t="s">
        <v>230</v>
      </c>
      <c r="AM15" s="8" t="s">
        <v>231</v>
      </c>
      <c r="AN15" s="9">
        <v>6309.92</v>
      </c>
      <c r="AO15" s="9">
        <v>6887.18</v>
      </c>
      <c r="AP15" s="9">
        <v>7034.94</v>
      </c>
      <c r="AQ15" s="9">
        <v>5650.9</v>
      </c>
      <c r="AR15" s="9">
        <v>5046.92</v>
      </c>
      <c r="AS15" s="9">
        <v>6023.02</v>
      </c>
      <c r="AT15" s="9">
        <v>5743.85</v>
      </c>
      <c r="AU15" s="9">
        <v>5860.14</v>
      </c>
      <c r="AV15" s="9">
        <v>6480.44</v>
      </c>
      <c r="AW15" s="9">
        <v>6802.05</v>
      </c>
      <c r="AX15" s="9">
        <v>7430.19</v>
      </c>
      <c r="AY15" s="9">
        <v>8072.21</v>
      </c>
      <c r="AZ15" s="32">
        <f t="shared" si="2"/>
        <v>33.6588709677419</v>
      </c>
      <c r="BG15" s="50"/>
      <c r="BH15" s="51"/>
      <c r="BL15" s="51"/>
    </row>
    <row r="16" s="18" customFormat="1" spans="1:64">
      <c r="A16" s="2"/>
      <c r="B16" s="4" t="s">
        <v>232</v>
      </c>
      <c r="C16" s="8" t="s">
        <v>233</v>
      </c>
      <c r="D16" s="9">
        <v>2878</v>
      </c>
      <c r="E16" s="9">
        <v>3479</v>
      </c>
      <c r="F16" s="9">
        <v>3122.5</v>
      </c>
      <c r="G16" s="9">
        <v>3195</v>
      </c>
      <c r="H16" s="9">
        <v>3209.5</v>
      </c>
      <c r="I16" s="9">
        <v>2725.5</v>
      </c>
      <c r="J16" s="9">
        <v>2264.04</v>
      </c>
      <c r="K16" s="9">
        <v>1684.5</v>
      </c>
      <c r="L16" s="9">
        <v>2829.6</v>
      </c>
      <c r="M16" s="9">
        <v>2211.7</v>
      </c>
      <c r="N16" s="9">
        <v>3019.6</v>
      </c>
      <c r="O16" s="9">
        <v>3338.23</v>
      </c>
      <c r="P16" s="43">
        <f t="shared" si="0"/>
        <v>7.03150537634409</v>
      </c>
      <c r="Q16" s="44"/>
      <c r="R16" s="45"/>
      <c r="S16" s="2"/>
      <c r="T16" s="4" t="s">
        <v>232</v>
      </c>
      <c r="U16" s="8" t="s">
        <v>233</v>
      </c>
      <c r="V16" s="9"/>
      <c r="W16" s="9"/>
      <c r="X16" s="9">
        <v>2328.4</v>
      </c>
      <c r="Y16" s="9">
        <v>5714.4</v>
      </c>
      <c r="Z16" s="9">
        <v>4464.47</v>
      </c>
      <c r="AA16" s="9">
        <v>4400.35</v>
      </c>
      <c r="AB16" s="9">
        <v>4889.75</v>
      </c>
      <c r="AC16" s="9">
        <v>4713.01</v>
      </c>
      <c r="AD16" s="9">
        <v>4007.83</v>
      </c>
      <c r="AE16" s="9">
        <v>4435.3</v>
      </c>
      <c r="AF16" s="9">
        <v>3703.11</v>
      </c>
      <c r="AG16" s="15">
        <v>6264.37</v>
      </c>
      <c r="AH16" s="49">
        <f t="shared" si="1"/>
        <v>78.6394516129032</v>
      </c>
      <c r="AI16" s="44"/>
      <c r="AJ16" s="45"/>
      <c r="AK16" s="2"/>
      <c r="AL16" s="4" t="s">
        <v>232</v>
      </c>
      <c r="AM16" s="8" t="s">
        <v>233</v>
      </c>
      <c r="AN16" s="9">
        <v>28357.72</v>
      </c>
      <c r="AO16" s="9">
        <v>29405.17</v>
      </c>
      <c r="AP16" s="9">
        <v>34340.02</v>
      </c>
      <c r="AQ16" s="9">
        <v>33617.87</v>
      </c>
      <c r="AR16" s="9">
        <v>30610.14</v>
      </c>
      <c r="AS16" s="9">
        <v>32878.58</v>
      </c>
      <c r="AT16" s="9">
        <v>35226.27</v>
      </c>
      <c r="AU16" s="9">
        <v>34447.37</v>
      </c>
      <c r="AV16" s="9">
        <v>36319.32</v>
      </c>
      <c r="AW16" s="9">
        <v>35017.11</v>
      </c>
      <c r="AX16" s="9">
        <v>36065.79</v>
      </c>
      <c r="AY16" s="9">
        <v>36473.91</v>
      </c>
      <c r="AZ16" s="32">
        <f t="shared" si="2"/>
        <v>9.34074193548395</v>
      </c>
    </row>
    <row r="17" s="18" customFormat="1" spans="1:52">
      <c r="A17" s="2"/>
      <c r="B17" s="4" t="s">
        <v>234</v>
      </c>
      <c r="C17" s="8" t="s">
        <v>235</v>
      </c>
      <c r="D17" s="9">
        <v>2421.5</v>
      </c>
      <c r="E17" s="9">
        <v>2673.5</v>
      </c>
      <c r="F17" s="9">
        <v>3018.5</v>
      </c>
      <c r="G17" s="9">
        <v>2701</v>
      </c>
      <c r="H17" s="9">
        <v>3157.63</v>
      </c>
      <c r="I17" s="9">
        <v>2469.72</v>
      </c>
      <c r="J17" s="9">
        <v>3094.43</v>
      </c>
      <c r="K17" s="9">
        <v>2198.36</v>
      </c>
      <c r="L17" s="9">
        <v>1954.05</v>
      </c>
      <c r="M17" s="9">
        <v>2023.43</v>
      </c>
      <c r="N17" s="9">
        <v>2196.15</v>
      </c>
      <c r="O17" s="9">
        <v>1152.03</v>
      </c>
      <c r="P17" s="43">
        <f t="shared" si="0"/>
        <v>-36.0427419354839</v>
      </c>
      <c r="Q17" s="44"/>
      <c r="R17" s="45"/>
      <c r="S17" s="2"/>
      <c r="T17" s="4" t="s">
        <v>234</v>
      </c>
      <c r="U17" s="8" t="s">
        <v>235</v>
      </c>
      <c r="V17" s="9"/>
      <c r="W17" s="9"/>
      <c r="X17" s="9">
        <v>2173.2</v>
      </c>
      <c r="Y17" s="9">
        <v>7752.8</v>
      </c>
      <c r="Z17" s="9">
        <v>6507.48</v>
      </c>
      <c r="AA17" s="9">
        <v>7635.29</v>
      </c>
      <c r="AB17" s="9">
        <v>7244.73</v>
      </c>
      <c r="AC17" s="9">
        <v>6305.45</v>
      </c>
      <c r="AD17" s="9">
        <v>6503.94</v>
      </c>
      <c r="AE17" s="9">
        <v>6063.17</v>
      </c>
      <c r="AF17" s="9">
        <v>5178.87</v>
      </c>
      <c r="AG17" s="15">
        <v>7118.52</v>
      </c>
      <c r="AH17" s="49">
        <f t="shared" si="1"/>
        <v>57.0006774193549</v>
      </c>
      <c r="AI17" s="44"/>
      <c r="AJ17" s="45"/>
      <c r="AK17" s="2"/>
      <c r="AL17" s="24" t="s">
        <v>234</v>
      </c>
      <c r="AM17" s="8" t="s">
        <v>235</v>
      </c>
      <c r="AN17" s="9">
        <v>36303.07</v>
      </c>
      <c r="AO17" s="9">
        <v>37177.1</v>
      </c>
      <c r="AP17" s="9">
        <v>42461.76</v>
      </c>
      <c r="AQ17" s="9">
        <v>37114.77</v>
      </c>
      <c r="AR17" s="9">
        <v>32777.84</v>
      </c>
      <c r="AS17" s="9">
        <v>35720.62</v>
      </c>
      <c r="AT17" s="9">
        <v>42306.77</v>
      </c>
      <c r="AU17" s="9">
        <v>43147.18</v>
      </c>
      <c r="AV17" s="9">
        <v>38293.09</v>
      </c>
      <c r="AW17" s="9">
        <v>35689.5</v>
      </c>
      <c r="AX17" s="9">
        <v>33810.59</v>
      </c>
      <c r="AY17" s="9">
        <v>34294.32</v>
      </c>
      <c r="AZ17" s="52">
        <f t="shared" si="2"/>
        <v>-83.3816129032259</v>
      </c>
    </row>
    <row r="18" s="18" customFormat="1" spans="1:52">
      <c r="A18" s="2"/>
      <c r="B18" s="4" t="s">
        <v>236</v>
      </c>
      <c r="C18" s="8" t="s">
        <v>237</v>
      </c>
      <c r="D18" s="9">
        <v>922</v>
      </c>
      <c r="E18" s="9">
        <v>1255.5</v>
      </c>
      <c r="F18" s="9">
        <v>1228</v>
      </c>
      <c r="G18" s="9">
        <v>1001.5</v>
      </c>
      <c r="H18" s="9">
        <v>1374.5</v>
      </c>
      <c r="I18" s="9">
        <v>1459.5</v>
      </c>
      <c r="J18" s="9">
        <v>2106.01</v>
      </c>
      <c r="K18" s="9">
        <v>1612.73</v>
      </c>
      <c r="L18" s="9">
        <v>1283.8</v>
      </c>
      <c r="M18" s="9">
        <v>1043.65</v>
      </c>
      <c r="N18" s="9">
        <v>725.43</v>
      </c>
      <c r="O18" s="9">
        <v>610</v>
      </c>
      <c r="P18" s="43">
        <f t="shared" si="0"/>
        <v>-4.50358064516129</v>
      </c>
      <c r="Q18" s="44"/>
      <c r="R18" s="45"/>
      <c r="S18" s="2"/>
      <c r="T18" s="4" t="s">
        <v>236</v>
      </c>
      <c r="U18" s="8" t="s">
        <v>237</v>
      </c>
      <c r="V18" s="9"/>
      <c r="W18" s="9"/>
      <c r="X18" s="9">
        <v>2906.1</v>
      </c>
      <c r="Y18" s="9">
        <v>5141.8</v>
      </c>
      <c r="Z18" s="9">
        <v>3800.81</v>
      </c>
      <c r="AA18" s="9">
        <v>4782.32</v>
      </c>
      <c r="AB18" s="9">
        <v>4307.5</v>
      </c>
      <c r="AC18" s="9">
        <v>4051.97</v>
      </c>
      <c r="AD18" s="9">
        <v>2879.11</v>
      </c>
      <c r="AE18" s="9">
        <v>2943.61</v>
      </c>
      <c r="AF18" s="9">
        <v>3169.33</v>
      </c>
      <c r="AG18" s="9">
        <v>3532.27</v>
      </c>
      <c r="AH18" s="46">
        <f t="shared" si="1"/>
        <v>8.29986021505376</v>
      </c>
      <c r="AI18" s="44"/>
      <c r="AJ18" s="45"/>
      <c r="AK18" s="2"/>
      <c r="AL18" s="24" t="s">
        <v>236</v>
      </c>
      <c r="AM18" s="8" t="s">
        <v>237</v>
      </c>
      <c r="AN18" s="9">
        <v>21666.7</v>
      </c>
      <c r="AO18" s="9">
        <v>23125.66</v>
      </c>
      <c r="AP18" s="9">
        <v>25367.39</v>
      </c>
      <c r="AQ18" s="9">
        <v>23913.88</v>
      </c>
      <c r="AR18" s="9">
        <v>22773.42</v>
      </c>
      <c r="AS18" s="9">
        <v>21486.84</v>
      </c>
      <c r="AT18" s="9">
        <v>28158.13</v>
      </c>
      <c r="AU18" s="9">
        <v>24017.61</v>
      </c>
      <c r="AV18" s="9">
        <v>20145.96</v>
      </c>
      <c r="AW18" s="9">
        <v>19851.59</v>
      </c>
      <c r="AX18" s="9">
        <v>17746.27</v>
      </c>
      <c r="AY18" s="9">
        <v>18014.25</v>
      </c>
      <c r="AZ18" s="52">
        <f t="shared" si="2"/>
        <v>-80.6148279569892</v>
      </c>
    </row>
    <row r="19" s="18" customFormat="1" spans="1:52">
      <c r="A19" s="2"/>
      <c r="B19" s="4" t="s">
        <v>238</v>
      </c>
      <c r="C19" s="8" t="s">
        <v>239</v>
      </c>
      <c r="D19" s="9">
        <v>496</v>
      </c>
      <c r="E19" s="9">
        <v>460</v>
      </c>
      <c r="F19" s="9">
        <v>620.5</v>
      </c>
      <c r="G19" s="9">
        <v>730.5</v>
      </c>
      <c r="H19" s="9">
        <v>803.5</v>
      </c>
      <c r="I19" s="9">
        <v>794</v>
      </c>
      <c r="J19" s="9">
        <v>925.57</v>
      </c>
      <c r="K19" s="9">
        <v>647</v>
      </c>
      <c r="L19" s="9">
        <v>726.4</v>
      </c>
      <c r="M19" s="9">
        <v>517.5</v>
      </c>
      <c r="N19" s="9">
        <v>349</v>
      </c>
      <c r="O19" s="9">
        <v>27</v>
      </c>
      <c r="P19" s="43">
        <f t="shared" si="0"/>
        <v>-10.7623655913978</v>
      </c>
      <c r="Q19" s="44"/>
      <c r="R19" s="45"/>
      <c r="S19" s="2"/>
      <c r="T19" s="4" t="s">
        <v>238</v>
      </c>
      <c r="U19" s="8" t="s">
        <v>239</v>
      </c>
      <c r="V19" s="9"/>
      <c r="W19" s="9"/>
      <c r="X19" s="9">
        <v>174</v>
      </c>
      <c r="Y19" s="9">
        <v>1742.1</v>
      </c>
      <c r="Z19" s="9">
        <v>1262.38</v>
      </c>
      <c r="AA19" s="9">
        <v>1237.63</v>
      </c>
      <c r="AB19" s="9">
        <v>551.54</v>
      </c>
      <c r="AC19" s="9">
        <v>129.31</v>
      </c>
      <c r="AD19" s="9">
        <v>535.08</v>
      </c>
      <c r="AE19" s="9">
        <v>445.91</v>
      </c>
      <c r="AF19" s="9">
        <v>41</v>
      </c>
      <c r="AG19" s="9">
        <v>17.5</v>
      </c>
      <c r="AH19" s="46">
        <f t="shared" si="1"/>
        <v>-0.802150537634409</v>
      </c>
      <c r="AI19" s="44"/>
      <c r="AJ19" s="45"/>
      <c r="AK19" s="2"/>
      <c r="AL19" s="24" t="s">
        <v>238</v>
      </c>
      <c r="AM19" s="8" t="s">
        <v>239</v>
      </c>
      <c r="AN19" s="9">
        <v>11275.6</v>
      </c>
      <c r="AO19" s="9">
        <v>10386.08</v>
      </c>
      <c r="AP19" s="9">
        <v>10705.67</v>
      </c>
      <c r="AQ19" s="9">
        <v>10037.52</v>
      </c>
      <c r="AR19" s="9">
        <v>11115.26</v>
      </c>
      <c r="AS19" s="9">
        <v>9814.58</v>
      </c>
      <c r="AT19" s="9">
        <v>13030.74</v>
      </c>
      <c r="AU19" s="9">
        <v>14327.36</v>
      </c>
      <c r="AV19" s="9">
        <v>8255.2</v>
      </c>
      <c r="AW19" s="9">
        <v>10185.53</v>
      </c>
      <c r="AX19" s="9">
        <v>11067.02</v>
      </c>
      <c r="AY19" s="9">
        <v>9216.61</v>
      </c>
      <c r="AZ19" s="52">
        <f t="shared" si="2"/>
        <v>-42.2076666666667</v>
      </c>
    </row>
    <row r="20" s="18" customFormat="1" spans="1:52">
      <c r="A20" s="2"/>
      <c r="B20" s="5" t="s">
        <v>240</v>
      </c>
      <c r="C20" s="8" t="s">
        <v>241</v>
      </c>
      <c r="D20" s="9">
        <v>3</v>
      </c>
      <c r="E20" s="9">
        <v>36</v>
      </c>
      <c r="F20" s="9">
        <v>117</v>
      </c>
      <c r="G20" s="9">
        <v>31</v>
      </c>
      <c r="H20" s="9">
        <v>6</v>
      </c>
      <c r="I20" s="9">
        <v>29</v>
      </c>
      <c r="J20" s="9">
        <v>93</v>
      </c>
      <c r="K20" s="9">
        <v>21.5</v>
      </c>
      <c r="L20" s="10"/>
      <c r="M20" s="9">
        <v>6</v>
      </c>
      <c r="N20" s="9">
        <v>39</v>
      </c>
      <c r="O20" s="10"/>
      <c r="P20" s="43">
        <f t="shared" si="0"/>
        <v>-1.3</v>
      </c>
      <c r="Q20" s="54"/>
      <c r="R20" s="45"/>
      <c r="S20" s="2"/>
      <c r="T20" s="5" t="s">
        <v>240</v>
      </c>
      <c r="U20" s="8" t="s">
        <v>241</v>
      </c>
      <c r="V20" s="9"/>
      <c r="W20" s="9"/>
      <c r="X20" s="9"/>
      <c r="Y20" s="9"/>
      <c r="Z20" s="9"/>
      <c r="AA20" s="9">
        <v>24.4</v>
      </c>
      <c r="AB20" s="9">
        <v>269.76</v>
      </c>
      <c r="AC20" s="9">
        <v>223.1</v>
      </c>
      <c r="AD20" s="9">
        <v>66.3</v>
      </c>
      <c r="AE20" s="9">
        <v>7.03</v>
      </c>
      <c r="AF20" s="9">
        <v>21.32</v>
      </c>
      <c r="AG20" s="13"/>
      <c r="AH20" s="46">
        <f t="shared" si="1"/>
        <v>-0.710666666666667</v>
      </c>
      <c r="AI20" s="55"/>
      <c r="AJ20" s="45"/>
      <c r="AK20" s="2"/>
      <c r="AL20" s="25" t="s">
        <v>240</v>
      </c>
      <c r="AM20" s="8" t="s">
        <v>241</v>
      </c>
      <c r="AN20" s="9">
        <v>450</v>
      </c>
      <c r="AO20" s="9">
        <v>292.14</v>
      </c>
      <c r="AP20" s="9">
        <v>1308</v>
      </c>
      <c r="AQ20" s="9">
        <v>723</v>
      </c>
      <c r="AR20" s="9">
        <v>754.6</v>
      </c>
      <c r="AS20" s="9">
        <v>2615.03</v>
      </c>
      <c r="AT20" s="9">
        <v>792.45</v>
      </c>
      <c r="AU20" s="9">
        <v>245.66</v>
      </c>
      <c r="AV20" s="9">
        <v>1811.93</v>
      </c>
      <c r="AW20" s="9">
        <v>1997.42</v>
      </c>
      <c r="AX20" s="9">
        <v>605.8</v>
      </c>
      <c r="AY20" s="9">
        <v>500.2</v>
      </c>
      <c r="AZ20" s="52">
        <f t="shared" si="2"/>
        <v>-50.4451827956989</v>
      </c>
    </row>
    <row r="21" s="18" customFormat="1" spans="1:52">
      <c r="A21" s="2"/>
      <c r="B21" s="4" t="s">
        <v>242</v>
      </c>
      <c r="C21" s="8" t="s">
        <v>243</v>
      </c>
      <c r="D21" s="10"/>
      <c r="E21" s="10"/>
      <c r="F21" s="10"/>
      <c r="G21" s="10"/>
      <c r="H21" s="10"/>
      <c r="I21" s="10"/>
      <c r="J21" s="9"/>
      <c r="K21" s="9"/>
      <c r="L21" s="10"/>
      <c r="M21" s="10"/>
      <c r="N21" s="10"/>
      <c r="O21" s="10"/>
      <c r="P21" s="43">
        <f t="shared" si="0"/>
        <v>0</v>
      </c>
      <c r="Q21" s="54"/>
      <c r="R21" s="45"/>
      <c r="S21" s="2"/>
      <c r="T21" s="4" t="s">
        <v>242</v>
      </c>
      <c r="U21" s="8" t="s">
        <v>243</v>
      </c>
      <c r="V21" s="10"/>
      <c r="W21" s="10"/>
      <c r="X21" s="10"/>
      <c r="Y21" s="10"/>
      <c r="Z21" s="10"/>
      <c r="AA21" s="9">
        <v>68.86</v>
      </c>
      <c r="AB21" s="9">
        <v>339.94</v>
      </c>
      <c r="AC21" s="9">
        <v>178.62</v>
      </c>
      <c r="AD21" s="9">
        <v>59.98</v>
      </c>
      <c r="AE21" s="9">
        <v>8.13</v>
      </c>
      <c r="AF21" s="9">
        <v>10.33</v>
      </c>
      <c r="AG21" s="13">
        <v>8.61</v>
      </c>
      <c r="AH21" s="46">
        <f t="shared" si="1"/>
        <v>-0.0665913978494624</v>
      </c>
      <c r="AI21" s="55"/>
      <c r="AJ21" s="45"/>
      <c r="AK21" s="2"/>
      <c r="AL21" s="4" t="s">
        <v>242</v>
      </c>
      <c r="AM21" s="8" t="s">
        <v>243</v>
      </c>
      <c r="AN21" s="10"/>
      <c r="AO21" s="10"/>
      <c r="AP21" s="10"/>
      <c r="AQ21" s="10"/>
      <c r="AR21" s="10"/>
      <c r="AS21" s="10"/>
      <c r="AT21" s="9">
        <v>293.3</v>
      </c>
      <c r="AU21" s="9">
        <v>394.98</v>
      </c>
      <c r="AV21" s="9">
        <v>19.24</v>
      </c>
      <c r="AW21" s="18"/>
      <c r="AX21" s="9">
        <v>32.27</v>
      </c>
      <c r="AY21" s="3"/>
      <c r="AZ21" s="32">
        <f t="shared" si="2"/>
        <v>0</v>
      </c>
    </row>
    <row r="22" s="18" customFormat="1" spans="1:52">
      <c r="A22" s="2"/>
      <c r="B22" s="4" t="s">
        <v>244</v>
      </c>
      <c r="C22" s="8" t="s">
        <v>245</v>
      </c>
      <c r="D22" s="11"/>
      <c r="E22" s="13"/>
      <c r="F22" s="13"/>
      <c r="G22" s="13"/>
      <c r="H22" s="11"/>
      <c r="I22" s="14"/>
      <c r="J22" s="9"/>
      <c r="K22" s="9"/>
      <c r="L22" s="14"/>
      <c r="M22" s="14"/>
      <c r="N22" s="14"/>
      <c r="O22" s="16"/>
      <c r="P22" s="43">
        <f t="shared" si="0"/>
        <v>0</v>
      </c>
      <c r="Q22" s="56"/>
      <c r="R22" s="45"/>
      <c r="S22" s="2"/>
      <c r="T22" s="4" t="s">
        <v>244</v>
      </c>
      <c r="U22" s="8" t="s">
        <v>245</v>
      </c>
      <c r="V22" s="11"/>
      <c r="W22" s="13"/>
      <c r="X22" s="13"/>
      <c r="Y22" s="13"/>
      <c r="Z22" s="11"/>
      <c r="AA22" s="9">
        <v>61.97</v>
      </c>
      <c r="AB22" s="9">
        <v>444.57</v>
      </c>
      <c r="AC22" s="9">
        <v>167.9</v>
      </c>
      <c r="AD22" s="9">
        <v>77.78</v>
      </c>
      <c r="AE22" s="9">
        <v>32.77</v>
      </c>
      <c r="AF22" s="14"/>
      <c r="AG22" s="16"/>
      <c r="AH22" s="46">
        <f t="shared" si="1"/>
        <v>0</v>
      </c>
      <c r="AI22" s="56"/>
      <c r="AJ22" s="45"/>
      <c r="AK22" s="2"/>
      <c r="AL22" s="4" t="s">
        <v>244</v>
      </c>
      <c r="AM22" s="8" t="s">
        <v>245</v>
      </c>
      <c r="AN22" s="11"/>
      <c r="AO22" s="13"/>
      <c r="AP22" s="13"/>
      <c r="AQ22" s="13"/>
      <c r="AR22" s="11"/>
      <c r="AS22" s="14"/>
      <c r="AT22" s="9">
        <v>437.96</v>
      </c>
      <c r="AU22" s="9">
        <v>406.34</v>
      </c>
      <c r="AV22" s="9">
        <v>71.83</v>
      </c>
      <c r="AW22" s="9">
        <v>20.51</v>
      </c>
      <c r="AX22" s="14"/>
      <c r="AY22" s="9">
        <v>32.58</v>
      </c>
      <c r="AZ22" s="32">
        <f t="shared" si="2"/>
        <v>0.367301075268817</v>
      </c>
    </row>
    <row r="23" s="18" customFormat="1" spans="1:52">
      <c r="A23" s="2"/>
      <c r="B23" s="6" t="s">
        <v>246</v>
      </c>
      <c r="C23" s="8"/>
      <c r="D23" s="12">
        <f t="shared" ref="D23:O23" si="3">SUM(D3:D22)</f>
        <v>116818.57</v>
      </c>
      <c r="E23" s="12">
        <f t="shared" si="3"/>
        <v>114597.6</v>
      </c>
      <c r="F23" s="12">
        <f t="shared" si="3"/>
        <v>123034.5</v>
      </c>
      <c r="G23" s="12">
        <f t="shared" si="3"/>
        <v>120148.86</v>
      </c>
      <c r="H23" s="12">
        <f t="shared" si="3"/>
        <v>128636.19</v>
      </c>
      <c r="I23" s="12">
        <f t="shared" si="3"/>
        <v>108671.87</v>
      </c>
      <c r="J23" s="12">
        <f t="shared" si="3"/>
        <v>132395.22</v>
      </c>
      <c r="K23" s="12">
        <f t="shared" si="3"/>
        <v>111061.15</v>
      </c>
      <c r="L23" s="12">
        <f t="shared" si="3"/>
        <v>103476.66</v>
      </c>
      <c r="M23" s="12">
        <f t="shared" si="3"/>
        <v>104146.14</v>
      </c>
      <c r="N23" s="12">
        <f t="shared" si="3"/>
        <v>112156.78</v>
      </c>
      <c r="O23" s="12">
        <f t="shared" si="3"/>
        <v>149046.9</v>
      </c>
      <c r="P23" s="43">
        <f t="shared" si="0"/>
        <v>1069.4051827957</v>
      </c>
      <c r="Q23" s="56"/>
      <c r="R23" s="45"/>
      <c r="S23" s="2"/>
      <c r="T23" s="6" t="s">
        <v>246</v>
      </c>
      <c r="U23" s="8"/>
      <c r="V23" s="12">
        <f t="shared" ref="V23:AG23" si="4">SUM(V3:V22)</f>
        <v>0</v>
      </c>
      <c r="W23" s="12">
        <f t="shared" si="4"/>
        <v>0</v>
      </c>
      <c r="X23" s="12">
        <f t="shared" si="4"/>
        <v>41818.6</v>
      </c>
      <c r="Y23" s="12">
        <f t="shared" si="4"/>
        <v>127459</v>
      </c>
      <c r="Z23" s="12">
        <f t="shared" si="4"/>
        <v>115459.74</v>
      </c>
      <c r="AA23" s="12">
        <f t="shared" si="4"/>
        <v>124882.46</v>
      </c>
      <c r="AB23" s="12">
        <f t="shared" si="4"/>
        <v>147010.74</v>
      </c>
      <c r="AC23" s="12">
        <f t="shared" si="4"/>
        <v>135766.6</v>
      </c>
      <c r="AD23" s="12">
        <f t="shared" si="4"/>
        <v>110654.46</v>
      </c>
      <c r="AE23" s="12">
        <f t="shared" si="4"/>
        <v>119567.89</v>
      </c>
      <c r="AF23" s="12">
        <f t="shared" si="4"/>
        <v>112993.01</v>
      </c>
      <c r="AG23" s="12">
        <f t="shared" si="4"/>
        <v>138818.92</v>
      </c>
      <c r="AH23" s="46">
        <f t="shared" si="1"/>
        <v>711.596010752687</v>
      </c>
      <c r="AI23" s="56"/>
      <c r="AJ23" s="45"/>
      <c r="AK23" s="2"/>
      <c r="AL23" s="6" t="s">
        <v>246</v>
      </c>
      <c r="AM23" s="8"/>
      <c r="AN23" s="12">
        <f t="shared" ref="AN23:AY23" si="5">SUM(AN3:AN22)</f>
        <v>436242.41</v>
      </c>
      <c r="AO23" s="12">
        <f t="shared" si="5"/>
        <v>417593.21</v>
      </c>
      <c r="AP23" s="12">
        <f t="shared" si="5"/>
        <v>472866.48</v>
      </c>
      <c r="AQ23" s="12">
        <f t="shared" si="5"/>
        <v>441051.47</v>
      </c>
      <c r="AR23" s="12">
        <f t="shared" si="5"/>
        <v>441250.56</v>
      </c>
      <c r="AS23" s="12">
        <f t="shared" si="5"/>
        <v>429686.25</v>
      </c>
      <c r="AT23" s="12">
        <f t="shared" si="5"/>
        <v>508837.11</v>
      </c>
      <c r="AU23" s="12">
        <f t="shared" si="5"/>
        <v>524304.66</v>
      </c>
      <c r="AV23" s="12">
        <f t="shared" si="5"/>
        <v>475562.81</v>
      </c>
      <c r="AW23" s="12">
        <f t="shared" si="5"/>
        <v>472972.2</v>
      </c>
      <c r="AX23" s="12">
        <f t="shared" si="5"/>
        <v>464921.24</v>
      </c>
      <c r="AY23" s="12">
        <f t="shared" si="5"/>
        <v>497683.02</v>
      </c>
      <c r="AZ23" s="32">
        <f t="shared" si="2"/>
        <v>288.550967741938</v>
      </c>
    </row>
    <row r="24" s="18" customFormat="1" spans="1:52">
      <c r="A24" s="57"/>
      <c r="B24" s="58"/>
      <c r="C24" s="59"/>
      <c r="D24" s="60"/>
      <c r="E24" s="61"/>
      <c r="F24" s="62"/>
      <c r="G24" s="63"/>
      <c r="H24" s="60"/>
      <c r="I24" s="61"/>
      <c r="J24" s="64"/>
      <c r="K24" s="64"/>
      <c r="L24" s="64"/>
      <c r="M24" s="64"/>
      <c r="N24" s="64"/>
      <c r="O24" s="65"/>
      <c r="P24" s="66"/>
      <c r="Q24" s="65"/>
      <c r="R24" s="45"/>
      <c r="S24" s="67"/>
      <c r="T24" s="58"/>
      <c r="U24" s="59"/>
      <c r="V24" s="60"/>
      <c r="W24" s="61"/>
      <c r="X24" s="61"/>
      <c r="Y24" s="61"/>
      <c r="Z24" s="60"/>
      <c r="AA24" s="61"/>
      <c r="AB24" s="61"/>
      <c r="AC24" s="61"/>
      <c r="AD24" s="61"/>
      <c r="AE24" s="61"/>
      <c r="AF24" s="61"/>
      <c r="AG24" s="65"/>
      <c r="AH24" s="68"/>
      <c r="AI24" s="65"/>
      <c r="AJ24" s="45"/>
      <c r="AK24" s="69"/>
      <c r="AL24" s="58"/>
      <c r="AM24" s="59"/>
      <c r="AN24" s="60"/>
      <c r="AO24" s="61"/>
      <c r="AP24" s="61"/>
      <c r="AQ24" s="61"/>
      <c r="AR24" s="60"/>
      <c r="AS24" s="63"/>
      <c r="AT24" s="70"/>
      <c r="AU24" s="63"/>
      <c r="AV24" s="63"/>
      <c r="AW24" s="63"/>
      <c r="AX24" s="63"/>
      <c r="AY24" s="65"/>
      <c r="AZ24" s="32"/>
    </row>
    <row r="25" s="18" customFormat="1" spans="1:52">
      <c r="A25" s="57"/>
      <c r="B25" s="58"/>
      <c r="C25" s="59"/>
      <c r="D25" s="60"/>
      <c r="E25" s="61"/>
      <c r="F25" s="62"/>
      <c r="G25" s="63"/>
      <c r="H25" s="60"/>
      <c r="I25" s="61"/>
      <c r="J25" s="64"/>
      <c r="K25" s="64"/>
      <c r="L25" s="64"/>
      <c r="M25" s="64"/>
      <c r="N25" s="64"/>
      <c r="O25" s="65"/>
      <c r="P25" s="66"/>
      <c r="Q25" s="65"/>
      <c r="R25" s="45"/>
      <c r="S25" s="67"/>
      <c r="T25" s="58"/>
      <c r="U25" s="59"/>
      <c r="V25" s="60"/>
      <c r="W25" s="61"/>
      <c r="X25" s="61"/>
      <c r="Y25" s="61"/>
      <c r="Z25" s="60"/>
      <c r="AA25" s="61"/>
      <c r="AB25" s="61"/>
      <c r="AC25" s="61"/>
      <c r="AD25" s="61"/>
      <c r="AE25" s="61"/>
      <c r="AF25" s="61"/>
      <c r="AG25" s="65"/>
      <c r="AH25" s="68"/>
      <c r="AI25" s="65"/>
      <c r="AJ25" s="45"/>
      <c r="AK25" s="69"/>
      <c r="AL25" s="58"/>
      <c r="AM25" s="59"/>
      <c r="AN25" s="60"/>
      <c r="AO25" s="61"/>
      <c r="AP25" s="61"/>
      <c r="AQ25" s="61"/>
      <c r="AR25" s="60"/>
      <c r="AS25" s="63"/>
      <c r="AT25" s="70"/>
      <c r="AU25" s="63"/>
      <c r="AV25" s="63"/>
      <c r="AW25" s="63"/>
      <c r="AX25" s="63"/>
      <c r="AY25" s="65"/>
      <c r="AZ25" s="32"/>
    </row>
    <row r="26" s="18" customFormat="1" ht="26" spans="1:52">
      <c r="A26" s="17" t="s">
        <v>202</v>
      </c>
      <c r="B26" s="19"/>
      <c r="C26" s="17" t="s">
        <v>203</v>
      </c>
      <c r="D26" s="17" t="s">
        <v>2</v>
      </c>
      <c r="E26" s="17" t="s">
        <v>3</v>
      </c>
      <c r="F26" s="17" t="s">
        <v>4</v>
      </c>
      <c r="G26" s="17" t="s">
        <v>5</v>
      </c>
      <c r="H26" s="17" t="s">
        <v>6</v>
      </c>
      <c r="I26" s="17" t="s">
        <v>7</v>
      </c>
      <c r="J26" s="17" t="s">
        <v>8</v>
      </c>
      <c r="K26" s="17" t="s">
        <v>9</v>
      </c>
      <c r="L26" s="17" t="s">
        <v>10</v>
      </c>
      <c r="M26" s="17" t="s">
        <v>11</v>
      </c>
      <c r="N26" s="1" t="s">
        <v>12</v>
      </c>
      <c r="O26" s="1" t="s">
        <v>13</v>
      </c>
      <c r="P26" s="38" t="s">
        <v>204</v>
      </c>
      <c r="Q26" s="39"/>
      <c r="R26" s="45"/>
      <c r="S26" s="1" t="s">
        <v>202</v>
      </c>
      <c r="T26" s="3"/>
      <c r="U26" s="1" t="s">
        <v>203</v>
      </c>
      <c r="V26" s="1" t="s">
        <v>2</v>
      </c>
      <c r="W26" s="1" t="s">
        <v>3</v>
      </c>
      <c r="X26" s="1" t="s">
        <v>4</v>
      </c>
      <c r="Y26" s="1" t="s">
        <v>5</v>
      </c>
      <c r="Z26" s="1" t="s">
        <v>6</v>
      </c>
      <c r="AA26" s="1" t="s">
        <v>7</v>
      </c>
      <c r="AB26" s="1" t="s">
        <v>8</v>
      </c>
      <c r="AC26" s="1" t="s">
        <v>9</v>
      </c>
      <c r="AD26" s="1" t="s">
        <v>10</v>
      </c>
      <c r="AE26" s="1" t="s">
        <v>11</v>
      </c>
      <c r="AF26" s="1" t="s">
        <v>12</v>
      </c>
      <c r="AG26" s="1" t="s">
        <v>13</v>
      </c>
      <c r="AH26" s="41" t="s">
        <v>204</v>
      </c>
      <c r="AI26" s="39"/>
      <c r="AJ26" s="45"/>
      <c r="AK26" s="69"/>
      <c r="AL26" s="58"/>
      <c r="AM26" s="59"/>
      <c r="AN26" s="60"/>
      <c r="AO26" s="61"/>
      <c r="AP26" s="61"/>
      <c r="AQ26" s="61"/>
      <c r="AR26" s="60"/>
      <c r="AS26" s="63"/>
      <c r="AT26" s="70"/>
      <c r="AU26" s="63"/>
      <c r="AV26" s="63"/>
      <c r="AW26" s="63"/>
      <c r="AX26" s="63"/>
      <c r="AY26" s="65"/>
      <c r="AZ26" s="32"/>
    </row>
    <row r="27" s="18" customFormat="1" spans="1:52">
      <c r="A27" s="2" t="s">
        <v>131</v>
      </c>
      <c r="B27" s="4" t="s">
        <v>205</v>
      </c>
      <c r="C27" s="7" t="s">
        <v>206</v>
      </c>
      <c r="D27" s="9"/>
      <c r="E27" s="9"/>
      <c r="F27" s="9"/>
      <c r="G27" s="9"/>
      <c r="H27" s="9"/>
      <c r="I27" s="9"/>
      <c r="J27" s="9"/>
      <c r="K27" s="9">
        <v>1861.39</v>
      </c>
      <c r="L27" s="9">
        <v>826.16</v>
      </c>
      <c r="M27" s="9">
        <v>366.19</v>
      </c>
      <c r="N27" s="14">
        <v>184.67</v>
      </c>
      <c r="O27" s="16">
        <v>299.8</v>
      </c>
      <c r="P27" s="43">
        <f t="shared" ref="P27:P47" si="6">O27/31-N27/30</f>
        <v>3.51530107526882</v>
      </c>
      <c r="Q27" s="56"/>
      <c r="R27" s="45"/>
      <c r="S27" s="2" t="s">
        <v>36</v>
      </c>
      <c r="T27" s="4" t="s">
        <v>205</v>
      </c>
      <c r="U27" s="7" t="s">
        <v>206</v>
      </c>
      <c r="V27" s="9"/>
      <c r="W27" s="9"/>
      <c r="X27" s="9"/>
      <c r="Y27" s="9"/>
      <c r="Z27" s="9"/>
      <c r="AA27" s="9">
        <v>26.54</v>
      </c>
      <c r="AB27" s="9">
        <v>465.84</v>
      </c>
      <c r="AC27" s="9">
        <v>258.44</v>
      </c>
      <c r="AD27" s="14">
        <v>57.35</v>
      </c>
      <c r="AE27" s="14">
        <v>55.31</v>
      </c>
      <c r="AF27" s="9">
        <v>16.1</v>
      </c>
      <c r="AG27" s="16">
        <v>63.32</v>
      </c>
      <c r="AH27" s="46">
        <f t="shared" ref="AH27:AH47" si="7">AG27/31-AF27/30</f>
        <v>1.50591397849462</v>
      </c>
      <c r="AI27" s="56"/>
      <c r="AJ27" s="45"/>
      <c r="AK27" s="69"/>
      <c r="AL27" s="58"/>
      <c r="AM27" s="59"/>
      <c r="AN27" s="60"/>
      <c r="AO27" s="61"/>
      <c r="AP27" s="63"/>
      <c r="AQ27" s="63"/>
      <c r="AR27" s="60"/>
      <c r="AS27" s="63"/>
      <c r="AT27" s="63"/>
      <c r="AU27" s="63"/>
      <c r="AV27" s="63"/>
      <c r="AW27" s="63"/>
      <c r="AX27" s="63"/>
      <c r="AY27" s="65"/>
      <c r="AZ27" s="32"/>
    </row>
    <row r="28" s="18" customFormat="1" spans="1:52">
      <c r="A28" s="2"/>
      <c r="B28" s="4" t="s">
        <v>208</v>
      </c>
      <c r="C28" s="8" t="s">
        <v>209</v>
      </c>
      <c r="D28" s="9">
        <v>431</v>
      </c>
      <c r="E28" s="9">
        <v>311.5</v>
      </c>
      <c r="F28" s="9">
        <v>611.72</v>
      </c>
      <c r="G28" s="9">
        <v>853</v>
      </c>
      <c r="H28" s="9">
        <v>1172.94</v>
      </c>
      <c r="I28" s="9">
        <v>1097</v>
      </c>
      <c r="J28" s="9">
        <v>1660.84</v>
      </c>
      <c r="K28" s="9">
        <v>1446.86</v>
      </c>
      <c r="L28" s="9">
        <v>823.36</v>
      </c>
      <c r="M28" s="9">
        <v>640.53</v>
      </c>
      <c r="N28" s="9">
        <v>1147.14</v>
      </c>
      <c r="O28" s="9">
        <v>1053.96</v>
      </c>
      <c r="P28" s="43">
        <f t="shared" si="6"/>
        <v>-4.23929032258065</v>
      </c>
      <c r="Q28" s="44"/>
      <c r="R28" s="45"/>
      <c r="S28" s="2"/>
      <c r="T28" s="4" t="s">
        <v>208</v>
      </c>
      <c r="U28" s="8" t="s">
        <v>209</v>
      </c>
      <c r="V28" s="9">
        <v>232.5</v>
      </c>
      <c r="W28" s="9">
        <v>174.5</v>
      </c>
      <c r="X28" s="9">
        <v>183</v>
      </c>
      <c r="Y28" s="9">
        <v>204.13</v>
      </c>
      <c r="Z28" s="9">
        <v>256.69</v>
      </c>
      <c r="AA28" s="9">
        <v>387.07</v>
      </c>
      <c r="AB28" s="9">
        <v>1726.92</v>
      </c>
      <c r="AC28" s="9">
        <v>1355.22</v>
      </c>
      <c r="AD28" s="9">
        <v>931.78</v>
      </c>
      <c r="AE28" s="9">
        <v>513.55</v>
      </c>
      <c r="AF28" s="9">
        <v>429.84</v>
      </c>
      <c r="AG28" s="9">
        <v>440.55</v>
      </c>
      <c r="AH28" s="46">
        <f t="shared" si="7"/>
        <v>-0.116709677419355</v>
      </c>
      <c r="AI28" s="44"/>
      <c r="AJ28" s="45"/>
      <c r="AK28" s="69"/>
      <c r="AL28" s="58"/>
      <c r="AM28" s="59"/>
      <c r="AN28" s="60"/>
      <c r="AO28" s="61"/>
      <c r="AP28" s="63"/>
      <c r="AQ28" s="63"/>
      <c r="AR28" s="60"/>
      <c r="AS28" s="63"/>
      <c r="AT28" s="63"/>
      <c r="AU28" s="63"/>
      <c r="AV28" s="63"/>
      <c r="AW28" s="63"/>
      <c r="AX28" s="63"/>
      <c r="AY28" s="65"/>
      <c r="AZ28" s="32"/>
    </row>
    <row r="29" s="18" customFormat="1" spans="1:52">
      <c r="A29" s="2"/>
      <c r="B29" s="4" t="s">
        <v>210</v>
      </c>
      <c r="C29" s="8" t="s">
        <v>211</v>
      </c>
      <c r="D29" s="9">
        <v>3907.18</v>
      </c>
      <c r="E29" s="9">
        <v>3373</v>
      </c>
      <c r="F29" s="9">
        <v>5733.74</v>
      </c>
      <c r="G29" s="9">
        <v>9415.59</v>
      </c>
      <c r="H29" s="9">
        <v>9500.17</v>
      </c>
      <c r="I29" s="9">
        <v>8324.05</v>
      </c>
      <c r="J29" s="9">
        <v>10528.62</v>
      </c>
      <c r="K29" s="9">
        <v>9729.95</v>
      </c>
      <c r="L29" s="9">
        <v>11755.29</v>
      </c>
      <c r="M29" s="9">
        <v>10328.51</v>
      </c>
      <c r="N29" s="9">
        <v>9871.69</v>
      </c>
      <c r="O29" s="9">
        <v>9114.77</v>
      </c>
      <c r="P29" s="43">
        <f t="shared" si="6"/>
        <v>-35.0314946236559</v>
      </c>
      <c r="Q29" s="44"/>
      <c r="R29" s="45"/>
      <c r="S29" s="2"/>
      <c r="T29" s="4" t="s">
        <v>210</v>
      </c>
      <c r="U29" s="8" t="s">
        <v>211</v>
      </c>
      <c r="V29" s="9">
        <v>7749.49</v>
      </c>
      <c r="W29" s="9">
        <v>8372.68</v>
      </c>
      <c r="X29" s="9">
        <v>11445.48</v>
      </c>
      <c r="Y29" s="9">
        <v>14547.93</v>
      </c>
      <c r="Z29" s="9">
        <v>15627.7</v>
      </c>
      <c r="AA29" s="9">
        <v>15824.74</v>
      </c>
      <c r="AB29" s="9">
        <v>18038.75</v>
      </c>
      <c r="AC29" s="9">
        <v>13958.4</v>
      </c>
      <c r="AD29" s="9">
        <v>16569.83</v>
      </c>
      <c r="AE29" s="9">
        <v>14590.38</v>
      </c>
      <c r="AF29" s="9">
        <v>13089.39</v>
      </c>
      <c r="AG29" s="9">
        <v>12420.82</v>
      </c>
      <c r="AH29" s="46">
        <f t="shared" si="7"/>
        <v>-35.6413870967742</v>
      </c>
      <c r="AI29" s="44"/>
      <c r="AJ29" s="45"/>
      <c r="AK29" s="69"/>
      <c r="AL29" s="58"/>
      <c r="AM29" s="59"/>
      <c r="AN29" s="60"/>
      <c r="AO29" s="61"/>
      <c r="AP29" s="63"/>
      <c r="AQ29" s="63"/>
      <c r="AR29" s="60"/>
      <c r="AS29" s="63"/>
      <c r="AT29" s="63"/>
      <c r="AU29" s="63"/>
      <c r="AV29" s="63"/>
      <c r="AW29" s="63"/>
      <c r="AX29" s="63"/>
      <c r="AY29" s="65"/>
      <c r="AZ29" s="32"/>
    </row>
    <row r="30" s="18" customFormat="1" spans="1:52">
      <c r="A30" s="2"/>
      <c r="B30" s="4" t="s">
        <v>212</v>
      </c>
      <c r="C30" s="8" t="s">
        <v>213</v>
      </c>
      <c r="D30" s="9">
        <v>16656.16</v>
      </c>
      <c r="E30" s="9">
        <v>17880.69</v>
      </c>
      <c r="F30" s="9">
        <v>26995.44</v>
      </c>
      <c r="G30" s="9">
        <v>30571.35</v>
      </c>
      <c r="H30" s="9">
        <v>30226.38</v>
      </c>
      <c r="I30" s="9">
        <v>24038.41</v>
      </c>
      <c r="J30" s="9">
        <v>30957.16</v>
      </c>
      <c r="K30" s="9">
        <v>28549.67</v>
      </c>
      <c r="L30" s="9">
        <v>28273.57</v>
      </c>
      <c r="M30" s="9">
        <v>29988.93</v>
      </c>
      <c r="N30" s="9">
        <v>26949.24</v>
      </c>
      <c r="O30" s="9">
        <v>24794.52</v>
      </c>
      <c r="P30" s="43">
        <f t="shared" si="6"/>
        <v>-98.4847741935484</v>
      </c>
      <c r="Q30" s="44"/>
      <c r="R30" s="45"/>
      <c r="S30" s="2"/>
      <c r="T30" s="4" t="s">
        <v>212</v>
      </c>
      <c r="U30" s="8" t="s">
        <v>213</v>
      </c>
      <c r="V30" s="9">
        <v>25752.03</v>
      </c>
      <c r="W30" s="9">
        <v>27107.36</v>
      </c>
      <c r="X30" s="9">
        <v>29136.53</v>
      </c>
      <c r="Y30" s="9">
        <v>35340.62</v>
      </c>
      <c r="Z30" s="9">
        <v>37223.58</v>
      </c>
      <c r="AA30" s="9">
        <v>35240.11</v>
      </c>
      <c r="AB30" s="9">
        <v>39332.95</v>
      </c>
      <c r="AC30" s="9">
        <v>33898.55</v>
      </c>
      <c r="AD30" s="9">
        <v>32493.3</v>
      </c>
      <c r="AE30" s="9">
        <v>33059.05</v>
      </c>
      <c r="AF30" s="9">
        <v>30805.88</v>
      </c>
      <c r="AG30" s="9">
        <v>27369.11</v>
      </c>
      <c r="AH30" s="46">
        <f t="shared" si="7"/>
        <v>-143.988150537634</v>
      </c>
      <c r="AI30" s="44"/>
      <c r="AJ30" s="45"/>
      <c r="AK30" s="69"/>
      <c r="AL30" s="58"/>
      <c r="AM30" s="59"/>
      <c r="AN30" s="60"/>
      <c r="AO30" s="61"/>
      <c r="AP30" s="63"/>
      <c r="AQ30" s="63"/>
      <c r="AR30" s="60"/>
      <c r="AS30" s="63"/>
      <c r="AT30" s="63"/>
      <c r="AU30" s="63"/>
      <c r="AV30" s="63"/>
      <c r="AW30" s="63"/>
      <c r="AX30" s="63"/>
      <c r="AY30" s="65"/>
      <c r="AZ30" s="32"/>
    </row>
    <row r="31" s="18" customFormat="1" spans="1:52">
      <c r="A31" s="2"/>
      <c r="B31" s="4" t="s">
        <v>214</v>
      </c>
      <c r="C31" s="8" t="s">
        <v>215</v>
      </c>
      <c r="D31" s="9">
        <v>24798.2</v>
      </c>
      <c r="E31" s="9">
        <v>23761.3</v>
      </c>
      <c r="F31" s="9">
        <v>31226.51</v>
      </c>
      <c r="G31" s="9">
        <v>28470.5</v>
      </c>
      <c r="H31" s="9">
        <v>32394.88</v>
      </c>
      <c r="I31" s="9">
        <v>27956.56</v>
      </c>
      <c r="J31" s="9">
        <v>35251.14</v>
      </c>
      <c r="K31" s="9">
        <v>36945.8</v>
      </c>
      <c r="L31" s="9">
        <v>29147.54</v>
      </c>
      <c r="M31" s="9">
        <v>32207.82</v>
      </c>
      <c r="N31" s="9">
        <v>33371.81</v>
      </c>
      <c r="O31" s="9">
        <v>33181.69</v>
      </c>
      <c r="P31" s="43">
        <f t="shared" si="6"/>
        <v>-42.0165698924729</v>
      </c>
      <c r="Q31" s="44"/>
      <c r="R31" s="45"/>
      <c r="S31" s="2"/>
      <c r="T31" s="4" t="s">
        <v>214</v>
      </c>
      <c r="U31" s="8" t="s">
        <v>215</v>
      </c>
      <c r="V31" s="9">
        <v>36198.83</v>
      </c>
      <c r="W31" s="9">
        <v>34164.55</v>
      </c>
      <c r="X31" s="9">
        <v>36918.71</v>
      </c>
      <c r="Y31" s="9">
        <v>38846.62</v>
      </c>
      <c r="Z31" s="9">
        <v>37940.21</v>
      </c>
      <c r="AA31" s="9">
        <v>40373.87</v>
      </c>
      <c r="AB31" s="9">
        <v>46385.17</v>
      </c>
      <c r="AC31" s="9">
        <v>44580.1</v>
      </c>
      <c r="AD31" s="9">
        <v>37150.31</v>
      </c>
      <c r="AE31" s="9">
        <v>41832.7</v>
      </c>
      <c r="AF31" s="9">
        <v>38772</v>
      </c>
      <c r="AG31" s="15">
        <v>40741.49</v>
      </c>
      <c r="AH31" s="46">
        <f t="shared" si="7"/>
        <v>21.8416129032257</v>
      </c>
      <c r="AI31" s="44"/>
      <c r="AJ31" s="45"/>
      <c r="AK31" s="69"/>
      <c r="AL31" s="58"/>
      <c r="AM31" s="59"/>
      <c r="AN31" s="60"/>
      <c r="AO31" s="61"/>
      <c r="AP31" s="63"/>
      <c r="AQ31" s="63"/>
      <c r="AR31" s="60"/>
      <c r="AS31" s="63"/>
      <c r="AT31" s="63"/>
      <c r="AU31" s="63"/>
      <c r="AV31" s="63"/>
      <c r="AW31" s="63"/>
      <c r="AX31" s="63"/>
      <c r="AY31" s="65"/>
      <c r="AZ31" s="32"/>
    </row>
    <row r="32" s="18" customFormat="1" spans="1:52">
      <c r="A32" s="2"/>
      <c r="B32" s="4" t="s">
        <v>216</v>
      </c>
      <c r="C32" s="8" t="s">
        <v>217</v>
      </c>
      <c r="D32" s="9">
        <v>21532.16</v>
      </c>
      <c r="E32" s="9">
        <v>19505.04</v>
      </c>
      <c r="F32" s="9">
        <v>21250.35</v>
      </c>
      <c r="G32" s="9">
        <v>20317.87</v>
      </c>
      <c r="H32" s="9">
        <v>21405.97</v>
      </c>
      <c r="I32" s="9">
        <v>17488.24</v>
      </c>
      <c r="J32" s="9">
        <v>22226.22</v>
      </c>
      <c r="K32" s="9">
        <v>25842.25</v>
      </c>
      <c r="L32" s="9">
        <v>18240.58</v>
      </c>
      <c r="M32" s="9">
        <v>22838.3</v>
      </c>
      <c r="N32" s="9">
        <v>22511.11</v>
      </c>
      <c r="O32" s="9">
        <v>23924.17</v>
      </c>
      <c r="P32" s="43">
        <f t="shared" si="6"/>
        <v>21.3770860215052</v>
      </c>
      <c r="Q32" s="44"/>
      <c r="R32" s="45"/>
      <c r="S32" s="2"/>
      <c r="T32" s="4" t="s">
        <v>216</v>
      </c>
      <c r="U32" s="8" t="s">
        <v>217</v>
      </c>
      <c r="V32" s="9">
        <v>27218.57</v>
      </c>
      <c r="W32" s="9">
        <v>23001.09</v>
      </c>
      <c r="X32" s="9">
        <v>22565.97</v>
      </c>
      <c r="Y32" s="9">
        <v>23962.89</v>
      </c>
      <c r="Z32" s="9">
        <v>26290.93</v>
      </c>
      <c r="AA32" s="9">
        <v>27040.68</v>
      </c>
      <c r="AB32" s="9">
        <v>31098.19</v>
      </c>
      <c r="AC32" s="9">
        <v>31981.66</v>
      </c>
      <c r="AD32" s="9">
        <v>23045.52</v>
      </c>
      <c r="AE32" s="9">
        <v>27011.66</v>
      </c>
      <c r="AF32" s="9">
        <v>25405.53</v>
      </c>
      <c r="AG32" s="15">
        <v>27666.91</v>
      </c>
      <c r="AH32" s="49">
        <f t="shared" si="7"/>
        <v>45.6299677419355</v>
      </c>
      <c r="AI32" s="44"/>
      <c r="AJ32" s="45"/>
      <c r="AK32" s="69"/>
      <c r="AL32" s="58"/>
      <c r="AM32" s="59"/>
      <c r="AN32" s="60"/>
      <c r="AO32" s="61"/>
      <c r="AP32" s="63"/>
      <c r="AQ32" s="63"/>
      <c r="AR32" s="60"/>
      <c r="AS32" s="63"/>
      <c r="AT32" s="63"/>
      <c r="AU32" s="63"/>
      <c r="AV32" s="63"/>
      <c r="AW32" s="63"/>
      <c r="AX32" s="63"/>
      <c r="AY32" s="65"/>
      <c r="AZ32" s="32"/>
    </row>
    <row r="33" s="18" customFormat="1" spans="1:52">
      <c r="A33" s="2"/>
      <c r="B33" s="4" t="s">
        <v>218</v>
      </c>
      <c r="C33" s="8" t="s">
        <v>219</v>
      </c>
      <c r="D33" s="9">
        <v>11458.45</v>
      </c>
      <c r="E33" s="9">
        <v>10324.71</v>
      </c>
      <c r="F33" s="9">
        <v>10336.13</v>
      </c>
      <c r="G33" s="9">
        <v>8732.06</v>
      </c>
      <c r="H33" s="9">
        <v>9981.95</v>
      </c>
      <c r="I33" s="9">
        <v>10246.08</v>
      </c>
      <c r="J33" s="9">
        <v>11748.66</v>
      </c>
      <c r="K33" s="9">
        <v>14005.05</v>
      </c>
      <c r="L33" s="9">
        <v>9146.58</v>
      </c>
      <c r="M33" s="9">
        <v>11580.31</v>
      </c>
      <c r="N33" s="9">
        <v>11936.55</v>
      </c>
      <c r="O33" s="9">
        <v>13774.74</v>
      </c>
      <c r="P33" s="43">
        <f t="shared" si="6"/>
        <v>46.4614516129032</v>
      </c>
      <c r="Q33" s="44"/>
      <c r="R33" s="45"/>
      <c r="S33" s="2"/>
      <c r="T33" s="4" t="s">
        <v>218</v>
      </c>
      <c r="U33" s="8" t="s">
        <v>219</v>
      </c>
      <c r="V33" s="9">
        <v>16948.74</v>
      </c>
      <c r="W33" s="9">
        <v>15573.42</v>
      </c>
      <c r="X33" s="9">
        <v>12712.31</v>
      </c>
      <c r="Y33" s="9">
        <v>12682.23</v>
      </c>
      <c r="Z33" s="9">
        <v>14972.85</v>
      </c>
      <c r="AA33" s="9">
        <v>17078.33</v>
      </c>
      <c r="AB33" s="9">
        <v>18367.5</v>
      </c>
      <c r="AC33" s="9">
        <v>20364.16</v>
      </c>
      <c r="AD33" s="9">
        <v>13602.42</v>
      </c>
      <c r="AE33" s="9">
        <v>16403.05</v>
      </c>
      <c r="AF33" s="9">
        <v>15376.46</v>
      </c>
      <c r="AG33" s="9">
        <v>18208.76</v>
      </c>
      <c r="AH33" s="49">
        <f t="shared" si="7"/>
        <v>74.830688172043</v>
      </c>
      <c r="AI33" s="44"/>
      <c r="AJ33" s="45"/>
      <c r="AK33" s="69"/>
      <c r="AL33" s="58"/>
      <c r="AM33" s="59"/>
      <c r="AN33" s="60"/>
      <c r="AO33" s="61"/>
      <c r="AP33" s="63"/>
      <c r="AQ33" s="63"/>
      <c r="AR33" s="60"/>
      <c r="AS33" s="63"/>
      <c r="AT33" s="63"/>
      <c r="AU33" s="63"/>
      <c r="AV33" s="63"/>
      <c r="AW33" s="63"/>
      <c r="AX33" s="63"/>
      <c r="AY33" s="65"/>
      <c r="AZ33" s="32"/>
    </row>
    <row r="34" s="18" customFormat="1" spans="1:52">
      <c r="A34" s="2"/>
      <c r="B34" s="20" t="s">
        <v>220</v>
      </c>
      <c r="C34" s="8" t="s">
        <v>221</v>
      </c>
      <c r="D34" s="9">
        <v>7568.13</v>
      </c>
      <c r="E34" s="9">
        <v>9324.11</v>
      </c>
      <c r="F34" s="9">
        <v>9421.74</v>
      </c>
      <c r="G34" s="9">
        <v>9458.83</v>
      </c>
      <c r="H34" s="9">
        <v>9085.84</v>
      </c>
      <c r="I34" s="9">
        <v>8465.78</v>
      </c>
      <c r="J34" s="9">
        <v>9566.58</v>
      </c>
      <c r="K34" s="9">
        <v>10215.62</v>
      </c>
      <c r="L34" s="9">
        <v>9322.95</v>
      </c>
      <c r="M34" s="9">
        <v>10667.33</v>
      </c>
      <c r="N34" s="9">
        <v>13633.62</v>
      </c>
      <c r="O34" s="15">
        <v>17573.88</v>
      </c>
      <c r="P34" s="48">
        <f t="shared" si="6"/>
        <v>112.44535483871</v>
      </c>
      <c r="Q34" s="44"/>
      <c r="R34" s="45"/>
      <c r="S34" s="2"/>
      <c r="T34" s="4" t="s">
        <v>220</v>
      </c>
      <c r="U34" s="8" t="s">
        <v>221</v>
      </c>
      <c r="V34" s="9">
        <v>17752.48</v>
      </c>
      <c r="W34" s="9">
        <v>19439.72</v>
      </c>
      <c r="X34" s="9">
        <v>17583.5</v>
      </c>
      <c r="Y34" s="9">
        <v>21495.11</v>
      </c>
      <c r="Z34" s="9">
        <v>20139.58</v>
      </c>
      <c r="AA34" s="9">
        <v>22569.41</v>
      </c>
      <c r="AB34" s="9">
        <v>22457.74</v>
      </c>
      <c r="AC34" s="9">
        <v>25238.93</v>
      </c>
      <c r="AD34" s="9">
        <v>22949.51</v>
      </c>
      <c r="AE34" s="9">
        <v>27542.98</v>
      </c>
      <c r="AF34" s="9">
        <v>24013.94</v>
      </c>
      <c r="AG34" s="9">
        <v>25253.82</v>
      </c>
      <c r="AH34" s="46">
        <f t="shared" si="7"/>
        <v>14.174688172043</v>
      </c>
      <c r="AI34" s="44"/>
      <c r="AJ34" s="45"/>
      <c r="AK34" s="69"/>
      <c r="AL34" s="58"/>
      <c r="AM34" s="59"/>
      <c r="AN34" s="60"/>
      <c r="AO34" s="61"/>
      <c r="AP34" s="63"/>
      <c r="AQ34" s="63"/>
      <c r="AR34" s="60"/>
      <c r="AS34" s="63"/>
      <c r="AT34" s="63"/>
      <c r="AU34" s="63"/>
      <c r="AV34" s="63"/>
      <c r="AW34" s="63"/>
      <c r="AX34" s="63"/>
      <c r="AY34" s="65"/>
      <c r="AZ34" s="32"/>
    </row>
    <row r="35" s="18" customFormat="1" spans="1:52">
      <c r="A35" s="2"/>
      <c r="B35" s="20" t="s">
        <v>222</v>
      </c>
      <c r="C35" s="8" t="s">
        <v>223</v>
      </c>
      <c r="D35" s="9">
        <v>10546.73</v>
      </c>
      <c r="E35" s="9">
        <v>12928.38</v>
      </c>
      <c r="F35" s="9">
        <v>12527.31</v>
      </c>
      <c r="G35" s="9">
        <v>11714.03</v>
      </c>
      <c r="H35" s="9">
        <v>11634.37</v>
      </c>
      <c r="I35" s="9">
        <v>10903.39</v>
      </c>
      <c r="J35" s="9">
        <v>11669.63</v>
      </c>
      <c r="K35" s="9">
        <v>10661.35</v>
      </c>
      <c r="L35" s="9">
        <v>10208.4</v>
      </c>
      <c r="M35" s="9">
        <v>11395.96</v>
      </c>
      <c r="N35" s="9">
        <v>14121.76</v>
      </c>
      <c r="O35" s="15">
        <v>20507.43</v>
      </c>
      <c r="P35" s="48">
        <f t="shared" si="6"/>
        <v>190.804666666667</v>
      </c>
      <c r="Q35" s="44"/>
      <c r="R35" s="45"/>
      <c r="S35" s="2"/>
      <c r="T35" s="4" t="s">
        <v>222</v>
      </c>
      <c r="U35" s="8" t="s">
        <v>223</v>
      </c>
      <c r="V35" s="9">
        <v>22245.09</v>
      </c>
      <c r="W35" s="9">
        <v>23069.25</v>
      </c>
      <c r="X35" s="9">
        <v>22351.02</v>
      </c>
      <c r="Y35" s="9">
        <v>25300.29</v>
      </c>
      <c r="Z35" s="9">
        <v>24008.71</v>
      </c>
      <c r="AA35" s="9">
        <v>24007.57</v>
      </c>
      <c r="AB35" s="9">
        <v>24070.95</v>
      </c>
      <c r="AC35" s="9">
        <v>23292.44</v>
      </c>
      <c r="AD35" s="9">
        <v>24050.46</v>
      </c>
      <c r="AE35" s="9">
        <v>25206.57</v>
      </c>
      <c r="AF35" s="9">
        <v>24446.83</v>
      </c>
      <c r="AG35" s="9">
        <v>25659.08</v>
      </c>
      <c r="AH35" s="46">
        <f t="shared" si="7"/>
        <v>12.8179247311828</v>
      </c>
      <c r="AI35" s="44"/>
      <c r="AJ35" s="45"/>
      <c r="AK35" s="69"/>
      <c r="AL35" s="58"/>
      <c r="AM35" s="59"/>
      <c r="AN35" s="60"/>
      <c r="AO35" s="61"/>
      <c r="AP35" s="63"/>
      <c r="AQ35" s="63"/>
      <c r="AR35" s="60"/>
      <c r="AS35" s="63"/>
      <c r="AT35" s="63"/>
      <c r="AU35" s="63"/>
      <c r="AV35" s="63"/>
      <c r="AW35" s="63"/>
      <c r="AX35" s="63"/>
      <c r="AY35" s="65"/>
      <c r="AZ35" s="32"/>
    </row>
    <row r="36" s="18" customFormat="1" spans="1:52">
      <c r="A36" s="2"/>
      <c r="B36" s="20" t="s">
        <v>224</v>
      </c>
      <c r="C36" s="8" t="s">
        <v>225</v>
      </c>
      <c r="D36" s="9">
        <v>4454.19</v>
      </c>
      <c r="E36" s="9">
        <v>5424.71</v>
      </c>
      <c r="F36" s="9">
        <v>5045.6</v>
      </c>
      <c r="G36" s="9">
        <v>4884.72</v>
      </c>
      <c r="H36" s="9">
        <v>5176.87</v>
      </c>
      <c r="I36" s="9">
        <v>3886.57</v>
      </c>
      <c r="J36" s="9">
        <v>4351.27</v>
      </c>
      <c r="K36" s="9">
        <v>4655.96</v>
      </c>
      <c r="L36" s="9">
        <v>4498.74</v>
      </c>
      <c r="M36" s="9">
        <v>4998.99</v>
      </c>
      <c r="N36" s="9">
        <v>6609.04</v>
      </c>
      <c r="O36" s="15">
        <v>9715.57</v>
      </c>
      <c r="P36" s="48">
        <f t="shared" si="6"/>
        <v>93.1041505376344</v>
      </c>
      <c r="Q36" s="44"/>
      <c r="R36" s="45"/>
      <c r="S36" s="2"/>
      <c r="T36" s="4" t="s">
        <v>224</v>
      </c>
      <c r="U36" s="8" t="s">
        <v>225</v>
      </c>
      <c r="V36" s="9">
        <v>10478.15</v>
      </c>
      <c r="W36" s="9">
        <v>9880.21</v>
      </c>
      <c r="X36" s="9">
        <v>10484.57</v>
      </c>
      <c r="Y36" s="9">
        <v>10503.84</v>
      </c>
      <c r="Z36" s="9">
        <v>11519.28</v>
      </c>
      <c r="AA36" s="9">
        <v>11989.6</v>
      </c>
      <c r="AB36" s="9">
        <v>11568.39</v>
      </c>
      <c r="AC36" s="9">
        <v>10896.06</v>
      </c>
      <c r="AD36" s="9">
        <v>10618.65</v>
      </c>
      <c r="AE36" s="9">
        <v>12354.61</v>
      </c>
      <c r="AF36" s="9">
        <v>13530.69</v>
      </c>
      <c r="AG36" s="9">
        <v>13629.48</v>
      </c>
      <c r="AH36" s="46">
        <f t="shared" si="7"/>
        <v>-11.3623548387097</v>
      </c>
      <c r="AI36" s="44"/>
      <c r="AJ36" s="45"/>
      <c r="AK36" s="69"/>
      <c r="AL36" s="58"/>
      <c r="AM36" s="59"/>
      <c r="AN36" s="60"/>
      <c r="AO36" s="61"/>
      <c r="AP36" s="63"/>
      <c r="AQ36" s="63"/>
      <c r="AR36" s="60"/>
      <c r="AS36" s="63"/>
      <c r="AT36" s="63"/>
      <c r="AU36" s="63"/>
      <c r="AV36" s="63"/>
      <c r="AW36" s="63"/>
      <c r="AX36" s="63"/>
      <c r="AY36" s="65"/>
      <c r="AZ36" s="32"/>
    </row>
    <row r="37" s="18" customFormat="1" spans="1:52">
      <c r="A37" s="2"/>
      <c r="B37" s="4" t="s">
        <v>226</v>
      </c>
      <c r="C37" s="8" t="s">
        <v>227</v>
      </c>
      <c r="D37" s="9">
        <v>2485.65</v>
      </c>
      <c r="E37" s="9">
        <v>2220.32</v>
      </c>
      <c r="F37" s="9">
        <v>2624</v>
      </c>
      <c r="G37" s="9">
        <v>2108.5</v>
      </c>
      <c r="H37" s="9">
        <v>2120.66</v>
      </c>
      <c r="I37" s="9">
        <v>1954.55</v>
      </c>
      <c r="J37" s="9">
        <v>1554.91</v>
      </c>
      <c r="K37" s="9">
        <v>2288.32</v>
      </c>
      <c r="L37" s="9">
        <v>2338.16</v>
      </c>
      <c r="M37" s="9">
        <v>2605.52</v>
      </c>
      <c r="N37" s="9">
        <v>3734.45</v>
      </c>
      <c r="O37" s="15">
        <v>4557.37</v>
      </c>
      <c r="P37" s="48">
        <f t="shared" si="6"/>
        <v>22.5302688172043</v>
      </c>
      <c r="Q37" s="44"/>
      <c r="R37" s="45"/>
      <c r="S37" s="2"/>
      <c r="T37" s="4" t="s">
        <v>226</v>
      </c>
      <c r="U37" s="8" t="s">
        <v>227</v>
      </c>
      <c r="V37" s="9">
        <v>5740.33</v>
      </c>
      <c r="W37" s="9">
        <v>7556.95</v>
      </c>
      <c r="X37" s="9">
        <v>4781.69</v>
      </c>
      <c r="Y37" s="9">
        <v>4584.09</v>
      </c>
      <c r="Z37" s="9">
        <v>6467.18</v>
      </c>
      <c r="AA37" s="9">
        <v>5762.93</v>
      </c>
      <c r="AB37" s="9">
        <v>5206.9</v>
      </c>
      <c r="AC37" s="9">
        <v>6132.9</v>
      </c>
      <c r="AD37" s="9">
        <v>5468.76</v>
      </c>
      <c r="AE37" s="9">
        <v>6346.9</v>
      </c>
      <c r="AF37" s="9">
        <v>7284.48</v>
      </c>
      <c r="AG37" s="9">
        <v>7702.67</v>
      </c>
      <c r="AH37" s="46">
        <f t="shared" si="7"/>
        <v>5.65722580645163</v>
      </c>
      <c r="AI37" s="44"/>
      <c r="AJ37" s="45"/>
      <c r="AK37" s="69"/>
      <c r="AL37" s="58"/>
      <c r="AM37" s="59"/>
      <c r="AN37" s="60"/>
      <c r="AO37" s="61"/>
      <c r="AP37" s="63"/>
      <c r="AQ37" s="63"/>
      <c r="AR37" s="60"/>
      <c r="AS37" s="63"/>
      <c r="AT37" s="63"/>
      <c r="AU37" s="63"/>
      <c r="AV37" s="63"/>
      <c r="AW37" s="63"/>
      <c r="AX37" s="63"/>
      <c r="AY37" s="65"/>
      <c r="AZ37" s="32"/>
    </row>
    <row r="38" s="18" customFormat="1" spans="1:52">
      <c r="A38" s="2"/>
      <c r="B38" s="4" t="s">
        <v>228</v>
      </c>
      <c r="C38" s="8" t="s">
        <v>229</v>
      </c>
      <c r="D38" s="9">
        <v>806.63</v>
      </c>
      <c r="E38" s="9">
        <v>1342</v>
      </c>
      <c r="F38" s="9">
        <v>1367</v>
      </c>
      <c r="G38" s="9">
        <v>1209.5</v>
      </c>
      <c r="H38" s="9">
        <v>1024.84</v>
      </c>
      <c r="I38" s="9">
        <v>1234.58</v>
      </c>
      <c r="J38" s="9">
        <v>1150.57</v>
      </c>
      <c r="K38" s="9">
        <v>1132.2</v>
      </c>
      <c r="L38" s="9">
        <v>1136.73</v>
      </c>
      <c r="M38" s="9">
        <v>1377.11</v>
      </c>
      <c r="N38" s="9">
        <v>1733.19</v>
      </c>
      <c r="O38" s="15">
        <v>2547.48</v>
      </c>
      <c r="P38" s="48">
        <f t="shared" si="6"/>
        <v>24.4037741935484</v>
      </c>
      <c r="Q38" s="44"/>
      <c r="R38" s="45"/>
      <c r="S38" s="2"/>
      <c r="T38" s="4" t="s">
        <v>228</v>
      </c>
      <c r="U38" s="8" t="s">
        <v>229</v>
      </c>
      <c r="V38" s="9">
        <v>6013.57</v>
      </c>
      <c r="W38" s="9">
        <v>3146.47</v>
      </c>
      <c r="X38" s="9">
        <v>3125.34</v>
      </c>
      <c r="Y38" s="9">
        <v>3185.17</v>
      </c>
      <c r="Z38" s="9">
        <v>2828.45</v>
      </c>
      <c r="AA38" s="9">
        <v>3296.91</v>
      </c>
      <c r="AB38" s="9">
        <v>3539.3</v>
      </c>
      <c r="AC38" s="9">
        <v>3164.98</v>
      </c>
      <c r="AD38" s="9">
        <v>3360.97</v>
      </c>
      <c r="AE38" s="9">
        <v>3894.16</v>
      </c>
      <c r="AF38" s="9">
        <v>4193.68</v>
      </c>
      <c r="AG38" s="9">
        <v>4258.28</v>
      </c>
      <c r="AH38" s="46">
        <f t="shared" si="7"/>
        <v>-2.42546236559141</v>
      </c>
      <c r="AI38" s="44"/>
      <c r="AJ38" s="45"/>
      <c r="AK38" s="69"/>
      <c r="AL38" s="58"/>
      <c r="AM38" s="59"/>
      <c r="AN38" s="60"/>
      <c r="AO38" s="61"/>
      <c r="AP38" s="63"/>
      <c r="AQ38" s="63"/>
      <c r="AR38" s="60"/>
      <c r="AS38" s="63"/>
      <c r="AT38" s="63"/>
      <c r="AU38" s="63"/>
      <c r="AV38" s="63"/>
      <c r="AW38" s="63"/>
      <c r="AX38" s="63"/>
      <c r="AY38" s="65"/>
      <c r="AZ38" s="32"/>
    </row>
    <row r="39" s="18" customFormat="1" spans="1:52">
      <c r="A39" s="2"/>
      <c r="B39" s="4" t="s">
        <v>230</v>
      </c>
      <c r="C39" s="8" t="s">
        <v>231</v>
      </c>
      <c r="D39" s="9">
        <v>661</v>
      </c>
      <c r="E39" s="9">
        <v>878.82</v>
      </c>
      <c r="F39" s="9">
        <v>958</v>
      </c>
      <c r="G39" s="9">
        <v>1105.47</v>
      </c>
      <c r="H39" s="9">
        <v>1199.31</v>
      </c>
      <c r="I39" s="9">
        <v>1316.25</v>
      </c>
      <c r="J39" s="9">
        <v>867.87</v>
      </c>
      <c r="K39" s="9">
        <v>1193.72</v>
      </c>
      <c r="L39" s="9">
        <v>1224.59</v>
      </c>
      <c r="M39" s="9">
        <v>1368.54</v>
      </c>
      <c r="N39" s="9">
        <v>1404.36</v>
      </c>
      <c r="O39" s="15">
        <v>2641.76</v>
      </c>
      <c r="P39" s="48">
        <f t="shared" si="6"/>
        <v>38.406064516129</v>
      </c>
      <c r="Q39" s="44"/>
      <c r="R39" s="45"/>
      <c r="S39" s="2"/>
      <c r="T39" s="4" t="s">
        <v>230</v>
      </c>
      <c r="U39" s="8" t="s">
        <v>231</v>
      </c>
      <c r="V39" s="9">
        <v>4931.63</v>
      </c>
      <c r="W39" s="9">
        <v>2971.52</v>
      </c>
      <c r="X39" s="9">
        <v>3245.19</v>
      </c>
      <c r="Y39" s="9">
        <v>3393.9</v>
      </c>
      <c r="Z39" s="9">
        <v>3844.19</v>
      </c>
      <c r="AA39" s="9">
        <v>4123.34</v>
      </c>
      <c r="AB39" s="9">
        <v>4197.69</v>
      </c>
      <c r="AC39" s="9">
        <v>3285.38</v>
      </c>
      <c r="AD39" s="9">
        <v>3211.49</v>
      </c>
      <c r="AE39" s="9">
        <v>3943.48</v>
      </c>
      <c r="AF39" s="9">
        <v>5544.21</v>
      </c>
      <c r="AG39" s="9">
        <v>5134.05</v>
      </c>
      <c r="AH39" s="46">
        <f t="shared" si="7"/>
        <v>-19.1924838709677</v>
      </c>
      <c r="AI39" s="44"/>
      <c r="AJ39" s="45"/>
      <c r="AK39" s="69"/>
      <c r="AL39" s="58"/>
      <c r="AM39" s="59"/>
      <c r="AN39" s="60"/>
      <c r="AO39" s="61"/>
      <c r="AP39" s="63"/>
      <c r="AQ39" s="63"/>
      <c r="AR39" s="60"/>
      <c r="AS39" s="63"/>
      <c r="AT39" s="63"/>
      <c r="AU39" s="63"/>
      <c r="AV39" s="63"/>
      <c r="AW39" s="63"/>
      <c r="AX39" s="63"/>
      <c r="AY39" s="65"/>
      <c r="AZ39" s="32"/>
    </row>
    <row r="40" s="18" customFormat="1" spans="1:52">
      <c r="A40" s="2"/>
      <c r="B40" s="4" t="s">
        <v>232</v>
      </c>
      <c r="C40" s="8" t="s">
        <v>233</v>
      </c>
      <c r="D40" s="9">
        <v>1640.28</v>
      </c>
      <c r="E40" s="9">
        <v>2157.54</v>
      </c>
      <c r="F40" s="9">
        <v>2788.64</v>
      </c>
      <c r="G40" s="9">
        <v>3088.12</v>
      </c>
      <c r="H40" s="9">
        <v>2785.17</v>
      </c>
      <c r="I40" s="9">
        <v>2394.07</v>
      </c>
      <c r="J40" s="9">
        <v>2207.86</v>
      </c>
      <c r="K40" s="9">
        <v>2477.19</v>
      </c>
      <c r="L40" s="9">
        <v>2773.04</v>
      </c>
      <c r="M40" s="9">
        <v>2861.25</v>
      </c>
      <c r="N40" s="9">
        <v>4180.59</v>
      </c>
      <c r="O40" s="15">
        <v>5023.47</v>
      </c>
      <c r="P40" s="48">
        <f t="shared" si="6"/>
        <v>22.6944193548387</v>
      </c>
      <c r="Q40" s="44"/>
      <c r="R40" s="45"/>
      <c r="S40" s="2"/>
      <c r="T40" s="4" t="s">
        <v>232</v>
      </c>
      <c r="U40" s="8" t="s">
        <v>233</v>
      </c>
      <c r="V40" s="9">
        <v>6478.61</v>
      </c>
      <c r="W40" s="9">
        <v>7950.47</v>
      </c>
      <c r="X40" s="9">
        <v>9073.38</v>
      </c>
      <c r="Y40" s="9">
        <v>8453.41</v>
      </c>
      <c r="Z40" s="9">
        <v>9804.53</v>
      </c>
      <c r="AA40" s="9">
        <v>8585.93</v>
      </c>
      <c r="AB40" s="9">
        <v>9408.8</v>
      </c>
      <c r="AC40" s="9">
        <v>8210.18</v>
      </c>
      <c r="AD40" s="9">
        <v>8980.12</v>
      </c>
      <c r="AE40" s="9">
        <v>9336.51</v>
      </c>
      <c r="AF40" s="9">
        <v>10732.36</v>
      </c>
      <c r="AG40" s="15">
        <v>13131.39</v>
      </c>
      <c r="AH40" s="49">
        <f t="shared" si="7"/>
        <v>65.8478924731182</v>
      </c>
      <c r="AI40" s="44"/>
      <c r="AJ40" s="45"/>
      <c r="AK40" s="69"/>
      <c r="AL40" s="58"/>
      <c r="AM40" s="59"/>
      <c r="AN40" s="60"/>
      <c r="AO40" s="61"/>
      <c r="AP40" s="63"/>
      <c r="AQ40" s="63"/>
      <c r="AR40" s="60"/>
      <c r="AS40" s="63"/>
      <c r="AT40" s="63"/>
      <c r="AU40" s="63"/>
      <c r="AV40" s="63"/>
      <c r="AW40" s="63"/>
      <c r="AX40" s="63"/>
      <c r="AY40" s="65"/>
      <c r="AZ40" s="32"/>
    </row>
    <row r="41" s="18" customFormat="1" spans="1:52">
      <c r="A41" s="2"/>
      <c r="B41" s="4" t="s">
        <v>234</v>
      </c>
      <c r="C41" s="8" t="s">
        <v>235</v>
      </c>
      <c r="D41" s="9">
        <v>2079.14</v>
      </c>
      <c r="E41" s="9">
        <v>2092.5</v>
      </c>
      <c r="F41" s="9">
        <v>2717.89</v>
      </c>
      <c r="G41" s="9">
        <v>3340</v>
      </c>
      <c r="H41" s="9">
        <v>3431.33</v>
      </c>
      <c r="I41" s="9">
        <v>3910.42</v>
      </c>
      <c r="J41" s="9">
        <v>3488.58</v>
      </c>
      <c r="K41" s="9">
        <v>3252.75</v>
      </c>
      <c r="L41" s="9">
        <v>3281.38</v>
      </c>
      <c r="M41" s="9">
        <v>3936.4</v>
      </c>
      <c r="N41" s="9">
        <v>4435.01</v>
      </c>
      <c r="O41" s="15">
        <v>5734.02</v>
      </c>
      <c r="P41" s="48">
        <f t="shared" si="6"/>
        <v>37.1347204301075</v>
      </c>
      <c r="Q41" s="44"/>
      <c r="R41" s="45"/>
      <c r="S41" s="2"/>
      <c r="T41" s="4" t="s">
        <v>234</v>
      </c>
      <c r="U41" s="8" t="s">
        <v>235</v>
      </c>
      <c r="V41" s="9">
        <v>9570.35</v>
      </c>
      <c r="W41" s="9">
        <v>9085.55</v>
      </c>
      <c r="X41" s="9">
        <v>9072.18</v>
      </c>
      <c r="Y41" s="9">
        <v>11545.63</v>
      </c>
      <c r="Z41" s="9">
        <v>11297.07</v>
      </c>
      <c r="AA41" s="9">
        <v>12272.45</v>
      </c>
      <c r="AB41" s="9">
        <v>12170.91</v>
      </c>
      <c r="AC41" s="9">
        <v>10889.04</v>
      </c>
      <c r="AD41" s="9">
        <v>11853.13</v>
      </c>
      <c r="AE41" s="9">
        <v>11117.05</v>
      </c>
      <c r="AF41" s="9">
        <v>11559.8</v>
      </c>
      <c r="AG41" s="15">
        <v>13373.46</v>
      </c>
      <c r="AH41" s="49">
        <f t="shared" si="7"/>
        <v>46.0752688172043</v>
      </c>
      <c r="AI41" s="44"/>
      <c r="AJ41" s="45"/>
      <c r="AK41" s="69"/>
      <c r="AL41" s="58"/>
      <c r="AM41" s="59"/>
      <c r="AN41" s="60"/>
      <c r="AO41" s="61"/>
      <c r="AP41" s="63"/>
      <c r="AQ41" s="63"/>
      <c r="AR41" s="60"/>
      <c r="AS41" s="63"/>
      <c r="AT41" s="63"/>
      <c r="AU41" s="63"/>
      <c r="AV41" s="63"/>
      <c r="AW41" s="63"/>
      <c r="AX41" s="63"/>
      <c r="AY41" s="65"/>
      <c r="AZ41" s="32"/>
    </row>
    <row r="42" s="18" customFormat="1" spans="1:52">
      <c r="A42" s="2"/>
      <c r="B42" s="4" t="s">
        <v>236</v>
      </c>
      <c r="C42" s="8" t="s">
        <v>237</v>
      </c>
      <c r="D42" s="9">
        <v>1264.7</v>
      </c>
      <c r="E42" s="9">
        <v>1309.74</v>
      </c>
      <c r="F42" s="9">
        <v>1684.05</v>
      </c>
      <c r="G42" s="9">
        <v>2014.48</v>
      </c>
      <c r="H42" s="9">
        <v>2313.79</v>
      </c>
      <c r="I42" s="9">
        <v>2077.77</v>
      </c>
      <c r="J42" s="9">
        <v>2888.66</v>
      </c>
      <c r="K42" s="9">
        <v>3038.45</v>
      </c>
      <c r="L42" s="9">
        <v>2291.17</v>
      </c>
      <c r="M42" s="9">
        <v>2204.14</v>
      </c>
      <c r="N42" s="9">
        <v>2826.77</v>
      </c>
      <c r="O42" s="9">
        <v>2810.21</v>
      </c>
      <c r="P42" s="43">
        <f t="shared" si="6"/>
        <v>-3.5737311827957</v>
      </c>
      <c r="Q42" s="44"/>
      <c r="R42" s="45"/>
      <c r="S42" s="2"/>
      <c r="T42" s="4" t="s">
        <v>236</v>
      </c>
      <c r="U42" s="8" t="s">
        <v>237</v>
      </c>
      <c r="V42" s="9">
        <v>5620.78</v>
      </c>
      <c r="W42" s="9">
        <v>5460.02</v>
      </c>
      <c r="X42" s="9">
        <v>6129.7</v>
      </c>
      <c r="Y42" s="9">
        <v>7439.58</v>
      </c>
      <c r="Z42" s="9">
        <v>7398.75</v>
      </c>
      <c r="AA42" s="9">
        <v>8309.18</v>
      </c>
      <c r="AB42" s="9">
        <v>9873.39</v>
      </c>
      <c r="AC42" s="9">
        <v>7768.57</v>
      </c>
      <c r="AD42" s="9">
        <v>7017.33</v>
      </c>
      <c r="AE42" s="9">
        <v>6622.39</v>
      </c>
      <c r="AF42" s="9">
        <v>7717.95</v>
      </c>
      <c r="AG42" s="9">
        <v>8430.75</v>
      </c>
      <c r="AH42" s="46">
        <f t="shared" si="7"/>
        <v>14.6946774193548</v>
      </c>
      <c r="AI42" s="44"/>
      <c r="AJ42" s="45"/>
      <c r="AK42" s="69"/>
      <c r="AL42" s="58"/>
      <c r="AM42" s="59"/>
      <c r="AN42" s="60"/>
      <c r="AO42" s="61"/>
      <c r="AP42" s="61"/>
      <c r="AQ42" s="61"/>
      <c r="AR42" s="61"/>
      <c r="AS42" s="63"/>
      <c r="AT42" s="63"/>
      <c r="AU42" s="63"/>
      <c r="AV42" s="63"/>
      <c r="AW42" s="63"/>
      <c r="AX42" s="63"/>
      <c r="AY42" s="45"/>
      <c r="AZ42" s="32"/>
    </row>
    <row r="43" s="18" customFormat="1" ht="20" customHeight="1" spans="1:52">
      <c r="A43" s="2"/>
      <c r="B43" s="4" t="s">
        <v>238</v>
      </c>
      <c r="C43" s="8" t="s">
        <v>239</v>
      </c>
      <c r="D43" s="9">
        <v>200.5</v>
      </c>
      <c r="E43" s="9">
        <v>165.5</v>
      </c>
      <c r="F43" s="9">
        <v>401.5</v>
      </c>
      <c r="G43" s="9">
        <v>534.5</v>
      </c>
      <c r="H43" s="9">
        <v>540</v>
      </c>
      <c r="I43" s="9">
        <v>348.51</v>
      </c>
      <c r="J43" s="9">
        <v>498.04</v>
      </c>
      <c r="K43" s="9">
        <v>590.53</v>
      </c>
      <c r="L43" s="9">
        <v>381.05</v>
      </c>
      <c r="M43" s="9">
        <v>209</v>
      </c>
      <c r="N43" s="9">
        <v>427.5</v>
      </c>
      <c r="O43" s="9">
        <v>124.5</v>
      </c>
      <c r="P43" s="43">
        <f t="shared" si="6"/>
        <v>-10.2338709677419</v>
      </c>
      <c r="Q43" s="44"/>
      <c r="R43" s="45"/>
      <c r="S43" s="2"/>
      <c r="T43" s="4" t="s">
        <v>238</v>
      </c>
      <c r="U43" s="8" t="s">
        <v>239</v>
      </c>
      <c r="V43" s="9">
        <v>1495.75</v>
      </c>
      <c r="W43" s="9">
        <v>1963.95</v>
      </c>
      <c r="X43" s="9">
        <v>1854.41</v>
      </c>
      <c r="Y43" s="9">
        <v>1930.92</v>
      </c>
      <c r="Z43" s="9">
        <v>2032.11</v>
      </c>
      <c r="AA43" s="9">
        <v>2031.55</v>
      </c>
      <c r="AB43" s="9">
        <v>2926.42</v>
      </c>
      <c r="AC43" s="9">
        <v>1608.79</v>
      </c>
      <c r="AD43" s="9">
        <v>2350.17</v>
      </c>
      <c r="AE43" s="9">
        <v>1570</v>
      </c>
      <c r="AF43" s="9">
        <v>1740.66</v>
      </c>
      <c r="AG43" s="9">
        <v>1373.74</v>
      </c>
      <c r="AH43" s="46">
        <f t="shared" si="7"/>
        <v>-13.7078064516129</v>
      </c>
      <c r="AI43" s="44"/>
      <c r="AJ43" s="45"/>
      <c r="AK43" s="69"/>
      <c r="AL43" s="71"/>
      <c r="AM43" s="59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32"/>
    </row>
    <row r="44" s="18" customFormat="1" ht="19.5" customHeight="1" spans="1:52">
      <c r="A44" s="2"/>
      <c r="B44" s="5" t="s">
        <v>240</v>
      </c>
      <c r="C44" s="8" t="s">
        <v>241</v>
      </c>
      <c r="D44" s="9"/>
      <c r="E44" s="9"/>
      <c r="F44" s="9"/>
      <c r="G44" s="9"/>
      <c r="H44" s="9">
        <v>6.72</v>
      </c>
      <c r="I44" s="9"/>
      <c r="J44" s="9"/>
      <c r="K44" s="9">
        <v>26.66</v>
      </c>
      <c r="L44" s="9">
        <v>15.14</v>
      </c>
      <c r="M44" s="9">
        <v>8.51</v>
      </c>
      <c r="N44" s="10"/>
      <c r="O44" s="9">
        <v>20.26</v>
      </c>
      <c r="P44" s="43">
        <f t="shared" si="6"/>
        <v>0.653548387096774</v>
      </c>
      <c r="Q44" s="44"/>
      <c r="R44" s="45"/>
      <c r="S44" s="2"/>
      <c r="T44" s="5" t="s">
        <v>240</v>
      </c>
      <c r="U44" s="8" t="s">
        <v>241</v>
      </c>
      <c r="V44" s="9">
        <v>17</v>
      </c>
      <c r="W44" s="9"/>
      <c r="X44" s="9"/>
      <c r="Y44" s="9">
        <v>13.98</v>
      </c>
      <c r="Z44" s="9">
        <v>18.19</v>
      </c>
      <c r="AA44" s="9">
        <v>53.65</v>
      </c>
      <c r="AB44" s="9">
        <v>413.61</v>
      </c>
      <c r="AC44" s="9">
        <v>201.88</v>
      </c>
      <c r="AD44" s="9">
        <v>124.44</v>
      </c>
      <c r="AE44" s="9">
        <v>161.88</v>
      </c>
      <c r="AF44" s="9">
        <v>34.33</v>
      </c>
      <c r="AG44" s="9">
        <v>19.32</v>
      </c>
      <c r="AH44" s="46">
        <f t="shared" si="7"/>
        <v>-0.52110752688172</v>
      </c>
      <c r="AI44" s="44"/>
      <c r="AJ44" s="45"/>
      <c r="AK44" s="73"/>
      <c r="AL44" s="58"/>
      <c r="AM44" s="59"/>
      <c r="AN44" s="60"/>
      <c r="AO44" s="61"/>
      <c r="AP44" s="61"/>
      <c r="AQ44" s="63"/>
      <c r="AR44" s="60"/>
      <c r="AS44" s="63"/>
      <c r="AT44" s="63"/>
      <c r="AU44" s="63"/>
      <c r="AV44" s="63"/>
      <c r="AW44" s="63"/>
      <c r="AX44" s="63"/>
      <c r="AY44" s="65"/>
      <c r="AZ44" s="32"/>
    </row>
    <row r="45" s="18" customFormat="1" spans="1:52">
      <c r="A45" s="2"/>
      <c r="B45" s="4" t="s">
        <v>242</v>
      </c>
      <c r="C45" s="8" t="s">
        <v>243</v>
      </c>
      <c r="D45" s="10"/>
      <c r="E45" s="10"/>
      <c r="F45" s="10"/>
      <c r="G45" s="10"/>
      <c r="H45" s="10"/>
      <c r="I45" s="10"/>
      <c r="J45" s="9"/>
      <c r="K45" s="9"/>
      <c r="L45" s="10"/>
      <c r="M45" s="18"/>
      <c r="N45" s="10"/>
      <c r="O45" s="9">
        <v>15.08</v>
      </c>
      <c r="P45" s="43">
        <f t="shared" si="6"/>
        <v>0.486451612903226</v>
      </c>
      <c r="Q45" s="44"/>
      <c r="R45" s="45"/>
      <c r="S45" s="2"/>
      <c r="T45" s="4" t="s">
        <v>242</v>
      </c>
      <c r="U45" s="8" t="s">
        <v>243</v>
      </c>
      <c r="V45" s="10"/>
      <c r="W45" s="10"/>
      <c r="X45" s="10"/>
      <c r="Y45" s="10"/>
      <c r="Z45" s="9">
        <v>41.14</v>
      </c>
      <c r="AA45" s="9">
        <v>36.79</v>
      </c>
      <c r="AB45" s="9">
        <v>700.31</v>
      </c>
      <c r="AC45" s="9">
        <v>245.27</v>
      </c>
      <c r="AD45" s="9">
        <v>101.21</v>
      </c>
      <c r="AE45" s="9">
        <v>201.38</v>
      </c>
      <c r="AF45" s="9">
        <v>67.68</v>
      </c>
      <c r="AG45" s="9">
        <v>41.01</v>
      </c>
      <c r="AH45" s="46">
        <f t="shared" si="7"/>
        <v>-0.933096774193549</v>
      </c>
      <c r="AI45" s="44"/>
      <c r="AJ45" s="45"/>
      <c r="AK45" s="73"/>
      <c r="AL45" s="58"/>
      <c r="AM45" s="59"/>
      <c r="AN45" s="60"/>
      <c r="AO45" s="61"/>
      <c r="AP45" s="63"/>
      <c r="AQ45" s="63"/>
      <c r="AR45" s="60"/>
      <c r="AS45" s="63"/>
      <c r="AT45" s="63"/>
      <c r="AU45" s="63"/>
      <c r="AV45" s="63"/>
      <c r="AW45" s="63"/>
      <c r="AX45" s="63"/>
      <c r="AY45" s="65"/>
      <c r="AZ45" s="32"/>
    </row>
    <row r="46" s="18" customFormat="1" spans="1:52">
      <c r="A46" s="2"/>
      <c r="B46" s="4" t="s">
        <v>244</v>
      </c>
      <c r="C46" s="8" t="s">
        <v>245</v>
      </c>
      <c r="D46" s="11"/>
      <c r="E46" s="13"/>
      <c r="F46" s="13"/>
      <c r="G46" s="13"/>
      <c r="H46" s="11"/>
      <c r="I46" s="14"/>
      <c r="J46" s="9"/>
      <c r="K46" s="9"/>
      <c r="L46" s="14"/>
      <c r="M46" s="9">
        <v>15.81</v>
      </c>
      <c r="N46" s="14"/>
      <c r="O46" s="9">
        <v>9.08</v>
      </c>
      <c r="P46" s="43">
        <f t="shared" si="6"/>
        <v>0.292903225806452</v>
      </c>
      <c r="Q46" s="44"/>
      <c r="R46" s="45"/>
      <c r="S46" s="2"/>
      <c r="T46" s="4" t="s">
        <v>244</v>
      </c>
      <c r="U46" s="8" t="s">
        <v>245</v>
      </c>
      <c r="V46" s="11"/>
      <c r="W46" s="13"/>
      <c r="X46" s="13"/>
      <c r="Y46" s="13"/>
      <c r="Z46" s="11"/>
      <c r="AA46" s="9">
        <v>8.93</v>
      </c>
      <c r="AB46" s="9">
        <v>289.18</v>
      </c>
      <c r="AC46" s="9">
        <v>78.82</v>
      </c>
      <c r="AD46" s="9">
        <v>124.25</v>
      </c>
      <c r="AE46" s="9">
        <v>64.68</v>
      </c>
      <c r="AF46" s="9">
        <v>56.64</v>
      </c>
      <c r="AG46" s="9">
        <v>41.46</v>
      </c>
      <c r="AH46" s="46">
        <f t="shared" si="7"/>
        <v>-0.55058064516129</v>
      </c>
      <c r="AI46" s="44"/>
      <c r="AJ46" s="45"/>
      <c r="AK46" s="73"/>
      <c r="AL46" s="58"/>
      <c r="AM46" s="59"/>
      <c r="AN46" s="60"/>
      <c r="AO46" s="61"/>
      <c r="AP46" s="63"/>
      <c r="AQ46" s="63"/>
      <c r="AR46" s="60"/>
      <c r="AS46" s="63"/>
      <c r="AT46" s="63"/>
      <c r="AU46" s="63"/>
      <c r="AV46" s="63"/>
      <c r="AW46" s="63"/>
      <c r="AX46" s="63"/>
      <c r="AY46" s="65"/>
      <c r="AZ46" s="32"/>
    </row>
    <row r="47" s="18" customFormat="1" spans="1:52">
      <c r="A47" s="2"/>
      <c r="B47" s="6" t="s">
        <v>246</v>
      </c>
      <c r="C47" s="8"/>
      <c r="D47" s="12">
        <f t="shared" ref="D47:O47" si="8">SUM(D27:D46)</f>
        <v>110490.1</v>
      </c>
      <c r="E47" s="12">
        <f t="shared" si="8"/>
        <v>112999.86</v>
      </c>
      <c r="F47" s="12">
        <f t="shared" si="8"/>
        <v>135689.62</v>
      </c>
      <c r="G47" s="12">
        <f t="shared" si="8"/>
        <v>137818.52</v>
      </c>
      <c r="H47" s="12">
        <f t="shared" si="8"/>
        <v>144001.19</v>
      </c>
      <c r="I47" s="12">
        <f t="shared" si="8"/>
        <v>125642.23</v>
      </c>
      <c r="J47" s="12">
        <f t="shared" si="8"/>
        <v>150616.61</v>
      </c>
      <c r="K47" s="12">
        <f t="shared" si="8"/>
        <v>157913.72</v>
      </c>
      <c r="L47" s="12">
        <f t="shared" si="8"/>
        <v>135684.43</v>
      </c>
      <c r="M47" s="12">
        <f t="shared" si="8"/>
        <v>149599.15</v>
      </c>
      <c r="N47" s="12">
        <f t="shared" si="8"/>
        <v>159078.5</v>
      </c>
      <c r="O47" s="12">
        <f t="shared" si="8"/>
        <v>177423.76</v>
      </c>
      <c r="P47" s="43">
        <f t="shared" si="6"/>
        <v>420.730430107527</v>
      </c>
      <c r="Q47" s="56"/>
      <c r="R47" s="45"/>
      <c r="S47" s="2"/>
      <c r="T47" s="6" t="s">
        <v>246</v>
      </c>
      <c r="U47" s="8"/>
      <c r="V47" s="12">
        <f t="shared" ref="V47:AG47" si="9">SUM(V27:V46)</f>
        <v>204443.9</v>
      </c>
      <c r="W47" s="12">
        <f t="shared" si="9"/>
        <v>198917.71</v>
      </c>
      <c r="X47" s="12">
        <f t="shared" si="9"/>
        <v>200662.98</v>
      </c>
      <c r="Y47" s="12">
        <f t="shared" si="9"/>
        <v>223430.34</v>
      </c>
      <c r="Z47" s="12">
        <f t="shared" si="9"/>
        <v>231711.14</v>
      </c>
      <c r="AA47" s="12">
        <f t="shared" si="9"/>
        <v>239019.58</v>
      </c>
      <c r="AB47" s="12">
        <f t="shared" si="9"/>
        <v>262238.91</v>
      </c>
      <c r="AC47" s="12">
        <f t="shared" si="9"/>
        <v>247409.77</v>
      </c>
      <c r="AD47" s="12">
        <f t="shared" si="9"/>
        <v>224061</v>
      </c>
      <c r="AE47" s="12">
        <f t="shared" si="9"/>
        <v>241828.29</v>
      </c>
      <c r="AF47" s="12">
        <f t="shared" si="9"/>
        <v>234818.45</v>
      </c>
      <c r="AG47" s="12">
        <f t="shared" si="9"/>
        <v>244959.47</v>
      </c>
      <c r="AH47" s="46">
        <f t="shared" si="7"/>
        <v>74.6367204301087</v>
      </c>
      <c r="AI47" s="56"/>
      <c r="AJ47" s="45"/>
      <c r="AK47" s="73"/>
      <c r="AL47" s="58"/>
      <c r="AM47" s="59"/>
      <c r="AN47" s="60"/>
      <c r="AO47" s="61"/>
      <c r="AP47" s="63"/>
      <c r="AQ47" s="63"/>
      <c r="AR47" s="60"/>
      <c r="AS47" s="63"/>
      <c r="AT47" s="63"/>
      <c r="AU47" s="63"/>
      <c r="AV47" s="63"/>
      <c r="AW47" s="63"/>
      <c r="AX47" s="63"/>
      <c r="AY47" s="65"/>
      <c r="AZ47" s="32"/>
    </row>
    <row r="48" s="18" customFormat="1" spans="1:52">
      <c r="A48" s="69"/>
      <c r="B48" s="58"/>
      <c r="C48" s="59"/>
      <c r="D48" s="60"/>
      <c r="E48" s="61"/>
      <c r="F48" s="61"/>
      <c r="G48" s="61"/>
      <c r="H48" s="61"/>
      <c r="I48" s="61"/>
      <c r="J48" s="61"/>
      <c r="K48" s="61"/>
      <c r="L48" s="61"/>
      <c r="M48" s="64"/>
      <c r="N48" s="64"/>
      <c r="O48" s="45"/>
      <c r="P48" s="74"/>
      <c r="Q48" s="45"/>
      <c r="R48" s="45"/>
      <c r="S48" s="69"/>
      <c r="T48" s="75"/>
      <c r="U48" s="76"/>
      <c r="V48" s="77"/>
      <c r="W48" s="77"/>
      <c r="X48" s="78"/>
      <c r="Y48" s="78"/>
      <c r="Z48" s="78"/>
      <c r="AA48" s="77"/>
      <c r="AB48" s="77"/>
      <c r="AC48" s="77"/>
      <c r="AD48" s="77"/>
      <c r="AE48" s="77"/>
      <c r="AF48" s="77"/>
      <c r="AG48" s="79"/>
      <c r="AH48" s="30"/>
      <c r="AI48" s="79"/>
      <c r="AJ48" s="45"/>
      <c r="AK48" s="73"/>
      <c r="AL48" s="58"/>
      <c r="AM48" s="59"/>
      <c r="AN48" s="60"/>
      <c r="AO48" s="61"/>
      <c r="AP48" s="63"/>
      <c r="AQ48" s="63"/>
      <c r="AR48" s="60"/>
      <c r="AS48" s="63"/>
      <c r="AT48" s="63"/>
      <c r="AU48" s="63"/>
      <c r="AV48" s="63"/>
      <c r="AW48" s="63"/>
      <c r="AX48" s="63"/>
      <c r="AY48" s="65"/>
      <c r="AZ48" s="32"/>
    </row>
    <row r="49" s="18" customFormat="1" spans="1:52">
      <c r="A49" s="69"/>
      <c r="B49" s="71"/>
      <c r="C49" s="59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80"/>
      <c r="Q49" s="72"/>
      <c r="R49" s="45"/>
      <c r="S49" s="69"/>
      <c r="T49" s="75"/>
      <c r="U49" s="76"/>
      <c r="V49" s="77"/>
      <c r="W49" s="77"/>
      <c r="X49" s="78"/>
      <c r="Y49" s="78"/>
      <c r="Z49" s="78"/>
      <c r="AA49" s="77"/>
      <c r="AB49" s="77"/>
      <c r="AC49" s="77"/>
      <c r="AD49" s="77"/>
      <c r="AE49" s="77"/>
      <c r="AF49" s="77"/>
      <c r="AG49" s="79"/>
      <c r="AH49" s="30"/>
      <c r="AI49" s="79"/>
      <c r="AJ49" s="45"/>
      <c r="AK49" s="73"/>
      <c r="AL49" s="58"/>
      <c r="AM49" s="59"/>
      <c r="AN49" s="60"/>
      <c r="AO49" s="61"/>
      <c r="AP49" s="63"/>
      <c r="AQ49" s="63"/>
      <c r="AR49" s="60"/>
      <c r="AS49" s="63"/>
      <c r="AT49" s="63"/>
      <c r="AU49" s="63"/>
      <c r="AV49" s="63"/>
      <c r="AW49" s="63"/>
      <c r="AX49" s="63"/>
      <c r="AY49" s="65"/>
      <c r="AZ49" s="32"/>
    </row>
    <row r="50" s="18" customFormat="1" ht="26" spans="1:52">
      <c r="A50" s="17" t="s">
        <v>202</v>
      </c>
      <c r="B50" s="19"/>
      <c r="C50" s="17" t="s">
        <v>203</v>
      </c>
      <c r="D50" s="17" t="s">
        <v>2</v>
      </c>
      <c r="E50" s="17" t="s">
        <v>3</v>
      </c>
      <c r="F50" s="17" t="s">
        <v>4</v>
      </c>
      <c r="G50" s="17" t="s">
        <v>5</v>
      </c>
      <c r="H50" s="17" t="s">
        <v>6</v>
      </c>
      <c r="I50" s="17" t="s">
        <v>7</v>
      </c>
      <c r="J50" s="17" t="s">
        <v>8</v>
      </c>
      <c r="K50" s="17" t="s">
        <v>9</v>
      </c>
      <c r="L50" s="17" t="s">
        <v>10</v>
      </c>
      <c r="M50" s="17" t="s">
        <v>11</v>
      </c>
      <c r="N50" s="1" t="s">
        <v>12</v>
      </c>
      <c r="O50" s="1" t="s">
        <v>13</v>
      </c>
      <c r="P50" s="38" t="s">
        <v>204</v>
      </c>
      <c r="Q50" s="39"/>
      <c r="R50" s="45"/>
      <c r="S50" s="17" t="s">
        <v>202</v>
      </c>
      <c r="T50" s="19"/>
      <c r="U50" s="17" t="s">
        <v>203</v>
      </c>
      <c r="V50" s="17" t="s">
        <v>2</v>
      </c>
      <c r="W50" s="17" t="s">
        <v>3</v>
      </c>
      <c r="X50" s="17" t="s">
        <v>4</v>
      </c>
      <c r="Y50" s="17" t="s">
        <v>5</v>
      </c>
      <c r="Z50" s="17" t="s">
        <v>6</v>
      </c>
      <c r="AA50" s="17" t="s">
        <v>7</v>
      </c>
      <c r="AB50" s="17" t="s">
        <v>8</v>
      </c>
      <c r="AC50" s="17" t="s">
        <v>9</v>
      </c>
      <c r="AD50" s="17" t="s">
        <v>10</v>
      </c>
      <c r="AE50" s="17" t="s">
        <v>11</v>
      </c>
      <c r="AF50" s="1" t="s">
        <v>12</v>
      </c>
      <c r="AG50" s="1" t="s">
        <v>13</v>
      </c>
      <c r="AH50" s="41" t="s">
        <v>204</v>
      </c>
      <c r="AI50" s="39"/>
      <c r="AJ50" s="45"/>
      <c r="AK50" s="73"/>
      <c r="AL50" s="58"/>
      <c r="AM50" s="59"/>
      <c r="AN50" s="60"/>
      <c r="AO50" s="61"/>
      <c r="AP50" s="63"/>
      <c r="AQ50" s="63"/>
      <c r="AR50" s="60"/>
      <c r="AS50" s="63"/>
      <c r="AT50" s="63"/>
      <c r="AU50" s="63"/>
      <c r="AV50" s="63"/>
      <c r="AW50" s="63"/>
      <c r="AX50" s="63"/>
      <c r="AY50" s="65"/>
      <c r="AZ50" s="32"/>
    </row>
    <row r="51" s="18" customFormat="1" spans="1:52">
      <c r="A51" s="2" t="s">
        <v>138</v>
      </c>
      <c r="B51" s="4" t="s">
        <v>205</v>
      </c>
      <c r="C51" s="7" t="s">
        <v>206</v>
      </c>
      <c r="D51" s="9">
        <v>34</v>
      </c>
      <c r="E51" s="9">
        <v>13</v>
      </c>
      <c r="F51" s="9">
        <v>19</v>
      </c>
      <c r="G51" s="9">
        <v>88</v>
      </c>
      <c r="H51" s="9">
        <v>62.5</v>
      </c>
      <c r="I51" s="9">
        <v>38</v>
      </c>
      <c r="J51" s="9">
        <v>64</v>
      </c>
      <c r="K51" s="9">
        <v>126</v>
      </c>
      <c r="L51" s="14">
        <v>47.11</v>
      </c>
      <c r="M51" s="9">
        <v>55.65</v>
      </c>
      <c r="N51" s="9">
        <v>44.29</v>
      </c>
      <c r="O51" s="9">
        <v>74.89</v>
      </c>
      <c r="P51" s="43">
        <f t="shared" ref="P51:P71" si="10">O51/31-N51/30</f>
        <v>0.93947311827957</v>
      </c>
      <c r="Q51" s="44"/>
      <c r="R51" s="45"/>
      <c r="S51" s="2" t="s">
        <v>53</v>
      </c>
      <c r="T51" s="4" t="s">
        <v>205</v>
      </c>
      <c r="U51" s="7" t="s">
        <v>206</v>
      </c>
      <c r="V51" s="9"/>
      <c r="W51" s="9"/>
      <c r="X51" s="9"/>
      <c r="Y51" s="9"/>
      <c r="Z51" s="9"/>
      <c r="AA51" s="9">
        <v>13.52</v>
      </c>
      <c r="AB51" s="9">
        <v>443.18</v>
      </c>
      <c r="AC51" s="9">
        <v>607.05</v>
      </c>
      <c r="AD51" s="9">
        <v>101.38</v>
      </c>
      <c r="AE51" s="9">
        <v>75.17</v>
      </c>
      <c r="AF51" s="9">
        <v>72.91</v>
      </c>
      <c r="AG51" s="16">
        <v>40.53</v>
      </c>
      <c r="AH51" s="46">
        <f t="shared" ref="AH51:AH71" si="11">AG51/31-AF51/30</f>
        <v>-1.12291397849462</v>
      </c>
      <c r="AI51" s="56"/>
      <c r="AJ51" s="45"/>
      <c r="AK51" s="73"/>
      <c r="AL51" s="58"/>
      <c r="AM51" s="59"/>
      <c r="AN51" s="60"/>
      <c r="AO51" s="61"/>
      <c r="AP51" s="63"/>
      <c r="AQ51" s="63"/>
      <c r="AR51" s="60"/>
      <c r="AS51" s="63"/>
      <c r="AT51" s="63"/>
      <c r="AU51" s="63"/>
      <c r="AV51" s="63"/>
      <c r="AW51" s="63"/>
      <c r="AX51" s="63"/>
      <c r="AY51" s="65"/>
      <c r="AZ51" s="32"/>
    </row>
    <row r="52" s="18" customFormat="1" spans="1:52">
      <c r="A52" s="2"/>
      <c r="B52" s="4" t="s">
        <v>208</v>
      </c>
      <c r="C52" s="8" t="s">
        <v>209</v>
      </c>
      <c r="D52" s="9">
        <v>1191</v>
      </c>
      <c r="E52" s="9">
        <v>1564</v>
      </c>
      <c r="F52" s="9">
        <v>1555</v>
      </c>
      <c r="G52" s="9">
        <v>4740</v>
      </c>
      <c r="H52" s="9">
        <v>4536.29</v>
      </c>
      <c r="I52" s="9">
        <v>4318.11</v>
      </c>
      <c r="J52" s="9">
        <v>6462.66</v>
      </c>
      <c r="K52" s="9">
        <v>3607.29</v>
      </c>
      <c r="L52" s="9">
        <v>2162.03</v>
      </c>
      <c r="M52" s="9">
        <v>1859.93</v>
      </c>
      <c r="N52" s="9">
        <v>1282.09</v>
      </c>
      <c r="O52" s="9">
        <v>1900.58</v>
      </c>
      <c r="P52" s="43">
        <f t="shared" si="10"/>
        <v>18.5726989247312</v>
      </c>
      <c r="Q52" s="44"/>
      <c r="R52" s="45"/>
      <c r="S52" s="2"/>
      <c r="T52" s="4" t="s">
        <v>208</v>
      </c>
      <c r="U52" s="8" t="s">
        <v>209</v>
      </c>
      <c r="V52" s="9"/>
      <c r="W52" s="9">
        <v>166.9</v>
      </c>
      <c r="X52" s="9">
        <v>684.3</v>
      </c>
      <c r="Y52" s="9">
        <v>958.2</v>
      </c>
      <c r="Z52" s="9">
        <v>1418.5</v>
      </c>
      <c r="AA52" s="9">
        <v>1475.94</v>
      </c>
      <c r="AB52" s="9">
        <v>3762.58</v>
      </c>
      <c r="AC52" s="9">
        <v>2476.17</v>
      </c>
      <c r="AD52" s="9">
        <v>1126.32</v>
      </c>
      <c r="AE52" s="9">
        <v>1000.97</v>
      </c>
      <c r="AF52" s="9">
        <v>1233.28</v>
      </c>
      <c r="AG52" s="16">
        <v>965.82</v>
      </c>
      <c r="AH52" s="46">
        <f t="shared" si="11"/>
        <v>-9.95384946236559</v>
      </c>
      <c r="AI52" s="56"/>
      <c r="AJ52" s="45"/>
      <c r="AK52" s="73"/>
      <c r="AL52" s="58"/>
      <c r="AM52" s="59"/>
      <c r="AN52" s="60"/>
      <c r="AO52" s="61"/>
      <c r="AP52" s="63"/>
      <c r="AQ52" s="63"/>
      <c r="AR52" s="60"/>
      <c r="AS52" s="63"/>
      <c r="AT52" s="63"/>
      <c r="AU52" s="63"/>
      <c r="AV52" s="63"/>
      <c r="AW52" s="63"/>
      <c r="AX52" s="63"/>
      <c r="AY52" s="65"/>
      <c r="AZ52" s="32"/>
    </row>
    <row r="53" s="18" customFormat="1" spans="1:52">
      <c r="A53" s="2"/>
      <c r="B53" s="4" t="s">
        <v>210</v>
      </c>
      <c r="C53" s="8" t="s">
        <v>211</v>
      </c>
      <c r="D53" s="9">
        <v>7032</v>
      </c>
      <c r="E53" s="9">
        <v>5455</v>
      </c>
      <c r="F53" s="9">
        <v>10921</v>
      </c>
      <c r="G53" s="9">
        <v>17934</v>
      </c>
      <c r="H53" s="9">
        <v>18671.79</v>
      </c>
      <c r="I53" s="9">
        <v>16075.25</v>
      </c>
      <c r="J53" s="9">
        <v>25979.67</v>
      </c>
      <c r="K53" s="9">
        <v>25036.88</v>
      </c>
      <c r="L53" s="9">
        <v>23739.96</v>
      </c>
      <c r="M53" s="9">
        <v>14402.68</v>
      </c>
      <c r="N53" s="9">
        <v>10410.07</v>
      </c>
      <c r="O53" s="9">
        <v>9921.05</v>
      </c>
      <c r="P53" s="43">
        <f t="shared" si="10"/>
        <v>-26.9684623655914</v>
      </c>
      <c r="Q53" s="44"/>
      <c r="R53" s="45"/>
      <c r="S53" s="2"/>
      <c r="T53" s="4" t="s">
        <v>210</v>
      </c>
      <c r="U53" s="8" t="s">
        <v>211</v>
      </c>
      <c r="V53" s="9"/>
      <c r="W53" s="9">
        <v>2355.8</v>
      </c>
      <c r="X53" s="9">
        <v>6370.1</v>
      </c>
      <c r="Y53" s="9">
        <v>7767.9</v>
      </c>
      <c r="Z53" s="9">
        <v>7866.19</v>
      </c>
      <c r="AA53" s="9">
        <v>7632.51</v>
      </c>
      <c r="AB53" s="9">
        <v>8442.64</v>
      </c>
      <c r="AC53" s="9">
        <v>9309.5</v>
      </c>
      <c r="AD53" s="9">
        <v>8223.79</v>
      </c>
      <c r="AE53" s="9">
        <v>8368.09</v>
      </c>
      <c r="AF53" s="9">
        <v>6709.24</v>
      </c>
      <c r="AG53" s="16">
        <v>8160.27</v>
      </c>
      <c r="AH53" s="46">
        <f t="shared" si="11"/>
        <v>39.5931827956989</v>
      </c>
      <c r="AI53" s="56"/>
      <c r="AJ53" s="45"/>
      <c r="AK53" s="73"/>
      <c r="AL53" s="58"/>
      <c r="AM53" s="59"/>
      <c r="AN53" s="60"/>
      <c r="AO53" s="61"/>
      <c r="AP53" s="63"/>
      <c r="AQ53" s="63"/>
      <c r="AR53" s="60"/>
      <c r="AS53" s="63"/>
      <c r="AT53" s="63"/>
      <c r="AU53" s="63"/>
      <c r="AV53" s="63"/>
      <c r="AW53" s="63"/>
      <c r="AX53" s="63"/>
      <c r="AY53" s="65"/>
      <c r="AZ53" s="32"/>
    </row>
    <row r="54" s="18" customFormat="1" spans="1:52">
      <c r="A54" s="2"/>
      <c r="B54" s="4" t="s">
        <v>212</v>
      </c>
      <c r="C54" s="8" t="s">
        <v>213</v>
      </c>
      <c r="D54" s="9">
        <v>26296</v>
      </c>
      <c r="E54" s="9">
        <v>27125.5</v>
      </c>
      <c r="F54" s="9">
        <v>34532</v>
      </c>
      <c r="G54" s="9">
        <v>34307</v>
      </c>
      <c r="H54" s="9">
        <v>33649.57</v>
      </c>
      <c r="I54" s="9">
        <v>32891.7</v>
      </c>
      <c r="J54" s="9">
        <v>40102.35</v>
      </c>
      <c r="K54" s="9">
        <v>38496.98</v>
      </c>
      <c r="L54" s="9">
        <v>38681.89</v>
      </c>
      <c r="M54" s="9">
        <v>35798.09</v>
      </c>
      <c r="N54" s="9">
        <v>34214.71</v>
      </c>
      <c r="O54" s="9">
        <v>37481.27</v>
      </c>
      <c r="P54" s="43">
        <f t="shared" si="10"/>
        <v>68.5828924731181</v>
      </c>
      <c r="Q54" s="44"/>
      <c r="R54" s="45"/>
      <c r="S54" s="2"/>
      <c r="T54" s="20" t="s">
        <v>212</v>
      </c>
      <c r="U54" s="8" t="s">
        <v>213</v>
      </c>
      <c r="V54" s="9"/>
      <c r="W54" s="9">
        <v>8520.4</v>
      </c>
      <c r="X54" s="9">
        <v>14794.5</v>
      </c>
      <c r="Y54" s="9">
        <v>14561.6</v>
      </c>
      <c r="Z54" s="9">
        <v>14493.67</v>
      </c>
      <c r="AA54" s="9">
        <v>13902.27</v>
      </c>
      <c r="AB54" s="9">
        <v>16165.99</v>
      </c>
      <c r="AC54" s="9">
        <v>18490.87</v>
      </c>
      <c r="AD54" s="9">
        <v>16591</v>
      </c>
      <c r="AE54" s="9">
        <v>17943.07</v>
      </c>
      <c r="AF54" s="9">
        <v>16394.11</v>
      </c>
      <c r="AG54" s="21">
        <v>18875.99</v>
      </c>
      <c r="AH54" s="49">
        <f t="shared" si="11"/>
        <v>62.4325698924732</v>
      </c>
      <c r="AI54" s="56"/>
      <c r="AJ54" s="45"/>
      <c r="AK54" s="73"/>
      <c r="AL54" s="58"/>
      <c r="AM54" s="59"/>
      <c r="AN54" s="60"/>
      <c r="AO54" s="61"/>
      <c r="AP54" s="63"/>
      <c r="AQ54" s="63"/>
      <c r="AR54" s="60"/>
      <c r="AS54" s="63"/>
      <c r="AT54" s="63"/>
      <c r="AU54" s="63"/>
      <c r="AV54" s="63"/>
      <c r="AW54" s="63"/>
      <c r="AX54" s="63"/>
      <c r="AY54" s="65"/>
      <c r="AZ54" s="32"/>
    </row>
    <row r="55" s="18" customFormat="1" spans="1:52">
      <c r="A55" s="2"/>
      <c r="B55" s="4" t="s">
        <v>214</v>
      </c>
      <c r="C55" s="8" t="s">
        <v>215</v>
      </c>
      <c r="D55" s="9">
        <v>31960</v>
      </c>
      <c r="E55" s="9">
        <v>34002</v>
      </c>
      <c r="F55" s="9">
        <v>35024</v>
      </c>
      <c r="G55" s="9">
        <v>33611</v>
      </c>
      <c r="H55" s="9">
        <v>34026.55</v>
      </c>
      <c r="I55" s="9">
        <v>33436.42</v>
      </c>
      <c r="J55" s="9">
        <v>39679.93</v>
      </c>
      <c r="K55" s="9">
        <v>38014.18</v>
      </c>
      <c r="L55" s="9">
        <v>34924.56</v>
      </c>
      <c r="M55" s="9">
        <v>36727.4</v>
      </c>
      <c r="N55" s="9">
        <v>32433.45</v>
      </c>
      <c r="O55" s="23">
        <v>37743.44</v>
      </c>
      <c r="P55" s="48">
        <f t="shared" si="10"/>
        <v>136.415322580645</v>
      </c>
      <c r="Q55" s="44"/>
      <c r="R55" s="45"/>
      <c r="S55" s="2"/>
      <c r="T55" s="20" t="s">
        <v>214</v>
      </c>
      <c r="U55" s="8" t="s">
        <v>215</v>
      </c>
      <c r="V55" s="9"/>
      <c r="W55" s="9">
        <v>15521</v>
      </c>
      <c r="X55" s="9">
        <v>22640</v>
      </c>
      <c r="Y55" s="9">
        <v>18382.8</v>
      </c>
      <c r="Z55" s="9">
        <v>18578.53</v>
      </c>
      <c r="AA55" s="9">
        <v>16616.1</v>
      </c>
      <c r="AB55" s="9">
        <v>20833.33</v>
      </c>
      <c r="AC55" s="9">
        <v>23308.73</v>
      </c>
      <c r="AD55" s="9">
        <v>19717.15</v>
      </c>
      <c r="AE55" s="9">
        <v>22868.92</v>
      </c>
      <c r="AF55" s="9">
        <v>22539.65</v>
      </c>
      <c r="AG55" s="21">
        <v>25403.63</v>
      </c>
      <c r="AH55" s="49">
        <f t="shared" si="11"/>
        <v>68.1502688172043</v>
      </c>
      <c r="AI55" s="56"/>
      <c r="AJ55" s="45"/>
      <c r="AK55" s="73"/>
      <c r="AL55" s="58"/>
      <c r="AM55" s="59"/>
      <c r="AN55" s="60"/>
      <c r="AO55" s="61"/>
      <c r="AP55" s="63"/>
      <c r="AQ55" s="63"/>
      <c r="AR55" s="60"/>
      <c r="AS55" s="63"/>
      <c r="AT55" s="63"/>
      <c r="AU55" s="63"/>
      <c r="AV55" s="63"/>
      <c r="AW55" s="63"/>
      <c r="AX55" s="63"/>
      <c r="AY55" s="65"/>
      <c r="AZ55" s="32"/>
    </row>
    <row r="56" s="18" customFormat="1" spans="1:52">
      <c r="A56" s="2"/>
      <c r="B56" s="4" t="s">
        <v>216</v>
      </c>
      <c r="C56" s="8" t="s">
        <v>217</v>
      </c>
      <c r="D56" s="9">
        <v>17890</v>
      </c>
      <c r="E56" s="9">
        <v>17717.5</v>
      </c>
      <c r="F56" s="9">
        <v>18929</v>
      </c>
      <c r="G56" s="9">
        <v>15047</v>
      </c>
      <c r="H56" s="9">
        <v>17083.22</v>
      </c>
      <c r="I56" s="9">
        <v>16048.25</v>
      </c>
      <c r="J56" s="9">
        <v>20920.1</v>
      </c>
      <c r="K56" s="9">
        <v>21475.48</v>
      </c>
      <c r="L56" s="9">
        <v>19391.7</v>
      </c>
      <c r="M56" s="9">
        <v>21381</v>
      </c>
      <c r="N56" s="9">
        <v>18556.89</v>
      </c>
      <c r="O56" s="9">
        <v>20323.9</v>
      </c>
      <c r="P56" s="43">
        <f t="shared" si="10"/>
        <v>37.0466774193549</v>
      </c>
      <c r="Q56" s="44"/>
      <c r="R56" s="45"/>
      <c r="S56" s="2"/>
      <c r="T56" s="4" t="s">
        <v>216</v>
      </c>
      <c r="U56" s="8" t="s">
        <v>217</v>
      </c>
      <c r="V56" s="9"/>
      <c r="W56" s="9">
        <v>12302.1</v>
      </c>
      <c r="X56" s="9">
        <v>17101.5</v>
      </c>
      <c r="Y56" s="9">
        <v>13116.4</v>
      </c>
      <c r="Z56" s="9">
        <v>14315.64</v>
      </c>
      <c r="AA56" s="9">
        <v>12763.74</v>
      </c>
      <c r="AB56" s="9">
        <v>16639.07</v>
      </c>
      <c r="AC56" s="9">
        <v>19779</v>
      </c>
      <c r="AD56" s="9">
        <v>13565.96</v>
      </c>
      <c r="AE56" s="9">
        <v>18966.9</v>
      </c>
      <c r="AF56" s="9">
        <v>17219.76</v>
      </c>
      <c r="AG56" s="16">
        <v>18909.03</v>
      </c>
      <c r="AH56" s="46">
        <f t="shared" si="11"/>
        <v>35.9767096774193</v>
      </c>
      <c r="AI56" s="56"/>
      <c r="AJ56" s="45"/>
      <c r="AK56" s="73"/>
      <c r="AL56" s="58"/>
      <c r="AM56" s="59"/>
      <c r="AN56" s="60"/>
      <c r="AO56" s="61"/>
      <c r="AP56" s="63"/>
      <c r="AQ56" s="63"/>
      <c r="AR56" s="60"/>
      <c r="AS56" s="63"/>
      <c r="AT56" s="63"/>
      <c r="AU56" s="63"/>
      <c r="AV56" s="63"/>
      <c r="AW56" s="63"/>
      <c r="AX56" s="63"/>
      <c r="AY56" s="65"/>
      <c r="AZ56" s="32"/>
    </row>
    <row r="57" s="18" customFormat="1" spans="1:52">
      <c r="A57" s="2"/>
      <c r="B57" s="20" t="s">
        <v>218</v>
      </c>
      <c r="C57" s="8" t="s">
        <v>219</v>
      </c>
      <c r="D57" s="9">
        <v>9637.5</v>
      </c>
      <c r="E57" s="9">
        <v>8674</v>
      </c>
      <c r="F57" s="9">
        <v>8177</v>
      </c>
      <c r="G57" s="9">
        <v>7794.8</v>
      </c>
      <c r="H57" s="9">
        <v>7541.4</v>
      </c>
      <c r="I57" s="9">
        <v>8039.3</v>
      </c>
      <c r="J57" s="9">
        <v>8964.41</v>
      </c>
      <c r="K57" s="9">
        <v>10140.33</v>
      </c>
      <c r="L57" s="9">
        <v>10281.09</v>
      </c>
      <c r="M57" s="9">
        <v>12737.38</v>
      </c>
      <c r="N57" s="9">
        <v>9392.84</v>
      </c>
      <c r="O57" s="15">
        <v>12868.89</v>
      </c>
      <c r="P57" s="48">
        <f t="shared" si="10"/>
        <v>102.030817204301</v>
      </c>
      <c r="Q57" s="44"/>
      <c r="R57" s="45"/>
      <c r="S57" s="2"/>
      <c r="T57" s="4" t="s">
        <v>218</v>
      </c>
      <c r="U57" s="8" t="s">
        <v>219</v>
      </c>
      <c r="V57" s="9"/>
      <c r="W57" s="9">
        <v>6797.2</v>
      </c>
      <c r="X57" s="9">
        <v>9368.1</v>
      </c>
      <c r="Y57" s="9">
        <v>9281.9</v>
      </c>
      <c r="Z57" s="9">
        <v>8322.93</v>
      </c>
      <c r="AA57" s="9">
        <v>7691.63</v>
      </c>
      <c r="AB57" s="9">
        <v>9471.51</v>
      </c>
      <c r="AC57" s="9">
        <v>12081.35</v>
      </c>
      <c r="AD57" s="9">
        <v>8421.67</v>
      </c>
      <c r="AE57" s="9">
        <v>11123.1</v>
      </c>
      <c r="AF57" s="9">
        <v>9789.21</v>
      </c>
      <c r="AG57" s="16">
        <v>12340.36</v>
      </c>
      <c r="AH57" s="46">
        <f t="shared" si="11"/>
        <v>71.7691290322581</v>
      </c>
      <c r="AI57" s="56"/>
      <c r="AJ57" s="45"/>
      <c r="AK57" s="73"/>
      <c r="AL57" s="58"/>
      <c r="AM57" s="59"/>
      <c r="AN57" s="60"/>
      <c r="AO57" s="61"/>
      <c r="AP57" s="63"/>
      <c r="AQ57" s="63"/>
      <c r="AR57" s="60"/>
      <c r="AS57" s="63"/>
      <c r="AT57" s="63"/>
      <c r="AU57" s="63"/>
      <c r="AV57" s="63"/>
      <c r="AW57" s="63"/>
      <c r="AX57" s="63"/>
      <c r="AY57" s="65"/>
      <c r="AZ57" s="32"/>
    </row>
    <row r="58" s="18" customFormat="1" spans="1:52">
      <c r="A58" s="2"/>
      <c r="B58" s="20" t="s">
        <v>220</v>
      </c>
      <c r="C58" s="8" t="s">
        <v>221</v>
      </c>
      <c r="D58" s="9">
        <v>11861</v>
      </c>
      <c r="E58" s="9">
        <v>14185.5</v>
      </c>
      <c r="F58" s="9">
        <v>14014</v>
      </c>
      <c r="G58" s="9">
        <v>12570.1</v>
      </c>
      <c r="H58" s="9">
        <v>12063.05</v>
      </c>
      <c r="I58" s="9">
        <v>12337.15</v>
      </c>
      <c r="J58" s="9">
        <v>14981.34</v>
      </c>
      <c r="K58" s="9">
        <v>13547.61</v>
      </c>
      <c r="L58" s="9">
        <v>24951.46</v>
      </c>
      <c r="M58" s="9">
        <v>26060.95</v>
      </c>
      <c r="N58" s="9">
        <v>24927.28</v>
      </c>
      <c r="O58" s="15">
        <v>33473.59</v>
      </c>
      <c r="P58" s="48">
        <f t="shared" si="10"/>
        <v>248.883892473118</v>
      </c>
      <c r="Q58" s="44"/>
      <c r="R58" s="45"/>
      <c r="S58" s="2"/>
      <c r="T58" s="20" t="s">
        <v>220</v>
      </c>
      <c r="U58" s="8" t="s">
        <v>221</v>
      </c>
      <c r="V58" s="9"/>
      <c r="W58" s="9">
        <v>7783.6</v>
      </c>
      <c r="X58" s="9">
        <v>11908.3</v>
      </c>
      <c r="Y58" s="9">
        <v>11181.7</v>
      </c>
      <c r="Z58" s="9">
        <v>10954.27</v>
      </c>
      <c r="AA58" s="9">
        <v>10073.07</v>
      </c>
      <c r="AB58" s="9">
        <v>11214.89</v>
      </c>
      <c r="AC58" s="9">
        <v>13619.21</v>
      </c>
      <c r="AD58" s="9">
        <v>10996.65</v>
      </c>
      <c r="AE58" s="9">
        <v>16554.19</v>
      </c>
      <c r="AF58" s="9">
        <v>14445.19</v>
      </c>
      <c r="AG58" s="21">
        <v>18048.83</v>
      </c>
      <c r="AH58" s="49">
        <f t="shared" si="11"/>
        <v>100.713989247312</v>
      </c>
      <c r="AI58" s="56"/>
      <c r="AJ58" s="45"/>
      <c r="AK58" s="73"/>
      <c r="AL58" s="58"/>
      <c r="AM58" s="59"/>
      <c r="AN58" s="60"/>
      <c r="AO58" s="61"/>
      <c r="AP58" s="63"/>
      <c r="AQ58" s="63"/>
      <c r="AR58" s="60"/>
      <c r="AS58" s="63"/>
      <c r="AT58" s="63"/>
      <c r="AU58" s="63"/>
      <c r="AV58" s="63"/>
      <c r="AW58" s="63"/>
      <c r="AX58" s="63"/>
      <c r="AY58" s="65"/>
      <c r="AZ58" s="32"/>
    </row>
    <row r="59" s="18" customFormat="1" spans="1:52">
      <c r="A59" s="2"/>
      <c r="B59" s="20" t="s">
        <v>222</v>
      </c>
      <c r="C59" s="8" t="s">
        <v>223</v>
      </c>
      <c r="D59" s="9">
        <v>14368.5</v>
      </c>
      <c r="E59" s="9">
        <v>16093.5</v>
      </c>
      <c r="F59" s="9">
        <v>16483.5</v>
      </c>
      <c r="G59" s="9">
        <v>14139.2</v>
      </c>
      <c r="H59" s="9">
        <v>14495.59</v>
      </c>
      <c r="I59" s="9">
        <v>12965.07</v>
      </c>
      <c r="J59" s="9">
        <v>12229.38</v>
      </c>
      <c r="K59" s="9">
        <v>13523.59</v>
      </c>
      <c r="L59" s="9">
        <v>22284.03</v>
      </c>
      <c r="M59" s="9">
        <v>22176.17</v>
      </c>
      <c r="N59" s="9">
        <v>22180.27</v>
      </c>
      <c r="O59" s="15">
        <v>30574.82</v>
      </c>
      <c r="P59" s="48">
        <f t="shared" si="10"/>
        <v>246.942182795699</v>
      </c>
      <c r="Q59" s="44"/>
      <c r="R59" s="45"/>
      <c r="S59" s="2"/>
      <c r="T59" s="20" t="s">
        <v>222</v>
      </c>
      <c r="U59" s="8" t="s">
        <v>223</v>
      </c>
      <c r="V59" s="9"/>
      <c r="W59" s="9">
        <v>12644.7</v>
      </c>
      <c r="X59" s="9">
        <v>20943.9</v>
      </c>
      <c r="Y59" s="9">
        <v>18255.2</v>
      </c>
      <c r="Z59" s="9">
        <v>20116.77</v>
      </c>
      <c r="AA59" s="9">
        <v>16179.05</v>
      </c>
      <c r="AB59" s="9">
        <v>14673.55</v>
      </c>
      <c r="AC59" s="9">
        <v>15832.78</v>
      </c>
      <c r="AD59" s="9">
        <v>14853.88</v>
      </c>
      <c r="AE59" s="9">
        <v>17744.64</v>
      </c>
      <c r="AF59" s="9">
        <v>16749.47</v>
      </c>
      <c r="AG59" s="21">
        <v>19069.77</v>
      </c>
      <c r="AH59" s="49">
        <f t="shared" si="11"/>
        <v>56.8382043010752</v>
      </c>
      <c r="AI59" s="56"/>
      <c r="AJ59" s="45"/>
      <c r="AK59" s="73"/>
      <c r="AL59" s="58"/>
      <c r="AM59" s="59"/>
      <c r="AN59" s="60"/>
      <c r="AO59" s="61"/>
      <c r="AP59" s="63"/>
      <c r="AQ59" s="63"/>
      <c r="AR59" s="60"/>
      <c r="AS59" s="63"/>
      <c r="AT59" s="63"/>
      <c r="AU59" s="63"/>
      <c r="AV59" s="63"/>
      <c r="AW59" s="63"/>
      <c r="AX59" s="63"/>
      <c r="AY59" s="65"/>
      <c r="AZ59" s="32"/>
    </row>
    <row r="60" s="18" customFormat="1" spans="1:52">
      <c r="A60" s="2"/>
      <c r="B60" s="20" t="s">
        <v>224</v>
      </c>
      <c r="C60" s="8" t="s">
        <v>225</v>
      </c>
      <c r="D60" s="9">
        <v>4530.5</v>
      </c>
      <c r="E60" s="9">
        <v>5148</v>
      </c>
      <c r="F60" s="9">
        <v>5110</v>
      </c>
      <c r="G60" s="9">
        <v>5139.4</v>
      </c>
      <c r="H60" s="9">
        <v>4564.6</v>
      </c>
      <c r="I60" s="9">
        <v>4101.23</v>
      </c>
      <c r="J60" s="9">
        <v>4740.53</v>
      </c>
      <c r="K60" s="9">
        <v>4959.5</v>
      </c>
      <c r="L60" s="9">
        <v>7370.5</v>
      </c>
      <c r="M60" s="9">
        <v>7244.61</v>
      </c>
      <c r="N60" s="9">
        <v>8230.16</v>
      </c>
      <c r="O60" s="15">
        <v>11250.02</v>
      </c>
      <c r="P60" s="48">
        <f t="shared" si="10"/>
        <v>88.5652043010753</v>
      </c>
      <c r="Q60" s="44"/>
      <c r="R60" s="45"/>
      <c r="S60" s="2"/>
      <c r="T60" s="20" t="s">
        <v>224</v>
      </c>
      <c r="U60" s="8" t="s">
        <v>225</v>
      </c>
      <c r="V60" s="9"/>
      <c r="W60" s="9">
        <v>7616.6</v>
      </c>
      <c r="X60" s="9">
        <v>12116.8</v>
      </c>
      <c r="Y60" s="9">
        <v>11083.6</v>
      </c>
      <c r="Z60" s="9">
        <v>11492.37</v>
      </c>
      <c r="AA60" s="9">
        <v>10730.41</v>
      </c>
      <c r="AB60" s="9">
        <v>9637.16</v>
      </c>
      <c r="AC60" s="9">
        <v>9345.67</v>
      </c>
      <c r="AD60" s="9">
        <v>9868.9</v>
      </c>
      <c r="AE60" s="9">
        <v>11505.86</v>
      </c>
      <c r="AF60" s="9">
        <v>10869.21</v>
      </c>
      <c r="AG60" s="21">
        <v>13404.23</v>
      </c>
      <c r="AH60" s="49">
        <f t="shared" si="11"/>
        <v>70.0875161290323</v>
      </c>
      <c r="AI60" s="56"/>
      <c r="AJ60" s="45"/>
      <c r="AK60" s="73"/>
      <c r="AL60" s="58"/>
      <c r="AM60" s="59"/>
      <c r="AN60" s="60"/>
      <c r="AO60" s="61"/>
      <c r="AP60" s="61"/>
      <c r="AQ60" s="61"/>
      <c r="AR60" s="60"/>
      <c r="AS60" s="63"/>
      <c r="AT60" s="63"/>
      <c r="AU60" s="63"/>
      <c r="AV60" s="63"/>
      <c r="AW60" s="63"/>
      <c r="AX60" s="63"/>
      <c r="AY60" s="45"/>
      <c r="AZ60" s="32"/>
    </row>
    <row r="61" s="18" customFormat="1" ht="16.5" customHeight="1" spans="1:52">
      <c r="A61" s="2"/>
      <c r="B61" s="4" t="s">
        <v>226</v>
      </c>
      <c r="C61" s="8" t="s">
        <v>227</v>
      </c>
      <c r="D61" s="9">
        <v>2383</v>
      </c>
      <c r="E61" s="9">
        <v>2285</v>
      </c>
      <c r="F61" s="9">
        <v>2791</v>
      </c>
      <c r="G61" s="9">
        <v>2250</v>
      </c>
      <c r="H61" s="9">
        <v>2252.7</v>
      </c>
      <c r="I61" s="9">
        <v>1953.4</v>
      </c>
      <c r="J61" s="9">
        <v>2384.9</v>
      </c>
      <c r="K61" s="9">
        <v>2684.4</v>
      </c>
      <c r="L61" s="9">
        <v>3671.06</v>
      </c>
      <c r="M61" s="9">
        <v>4567.25</v>
      </c>
      <c r="N61" s="9">
        <v>3736.24</v>
      </c>
      <c r="O61" s="9">
        <v>5886.86</v>
      </c>
      <c r="P61" s="43">
        <f t="shared" si="10"/>
        <v>65.357376344086</v>
      </c>
      <c r="Q61" s="44"/>
      <c r="R61" s="45"/>
      <c r="S61" s="2"/>
      <c r="T61" s="4" t="s">
        <v>226</v>
      </c>
      <c r="U61" s="8" t="s">
        <v>227</v>
      </c>
      <c r="V61" s="9"/>
      <c r="W61" s="9">
        <v>4483.9</v>
      </c>
      <c r="X61" s="9">
        <v>6741.5</v>
      </c>
      <c r="Y61" s="9">
        <v>5887</v>
      </c>
      <c r="Z61" s="9">
        <v>6575.31</v>
      </c>
      <c r="AA61" s="9">
        <v>5646.02</v>
      </c>
      <c r="AB61" s="9">
        <v>5967.99</v>
      </c>
      <c r="AC61" s="9">
        <v>6783.12</v>
      </c>
      <c r="AD61" s="9">
        <v>5641.75</v>
      </c>
      <c r="AE61" s="9">
        <v>7081.97</v>
      </c>
      <c r="AF61" s="9">
        <v>6826.29</v>
      </c>
      <c r="AG61" s="16">
        <v>8354.58</v>
      </c>
      <c r="AH61" s="46">
        <f t="shared" si="11"/>
        <v>41.9595806451613</v>
      </c>
      <c r="AI61" s="56"/>
      <c r="AJ61" s="45"/>
      <c r="AK61" s="73"/>
      <c r="AL61" s="71"/>
      <c r="AM61" s="59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32"/>
    </row>
    <row r="62" s="18" customFormat="1" ht="19.5" customHeight="1" spans="1:52">
      <c r="A62" s="2"/>
      <c r="B62" s="4" t="s">
        <v>228</v>
      </c>
      <c r="C62" s="8" t="s">
        <v>229</v>
      </c>
      <c r="D62" s="9">
        <v>1136</v>
      </c>
      <c r="E62" s="9">
        <v>1790.5</v>
      </c>
      <c r="F62" s="9">
        <v>1795</v>
      </c>
      <c r="G62" s="9">
        <v>1260.5</v>
      </c>
      <c r="H62" s="9">
        <v>1724.99</v>
      </c>
      <c r="I62" s="9">
        <v>2043.7</v>
      </c>
      <c r="J62" s="9">
        <v>1492.8</v>
      </c>
      <c r="K62" s="9">
        <v>1176.4</v>
      </c>
      <c r="L62" s="9">
        <v>2291.4</v>
      </c>
      <c r="M62" s="9">
        <v>2676.61</v>
      </c>
      <c r="N62" s="9">
        <v>2720.14</v>
      </c>
      <c r="O62" s="9">
        <v>4143.48</v>
      </c>
      <c r="P62" s="43">
        <f t="shared" si="10"/>
        <v>42.989311827957</v>
      </c>
      <c r="Q62" s="44"/>
      <c r="R62" s="45"/>
      <c r="S62" s="2"/>
      <c r="T62" s="4" t="s">
        <v>228</v>
      </c>
      <c r="U62" s="8" t="s">
        <v>229</v>
      </c>
      <c r="V62" s="9"/>
      <c r="W62" s="9">
        <v>2447.4</v>
      </c>
      <c r="X62" s="9">
        <v>3596.1</v>
      </c>
      <c r="Y62" s="9">
        <v>3462.4</v>
      </c>
      <c r="Z62" s="9">
        <v>3958.32</v>
      </c>
      <c r="AA62" s="9">
        <v>3527.22</v>
      </c>
      <c r="AB62" s="9">
        <v>4150.02</v>
      </c>
      <c r="AC62" s="9">
        <v>4313.34</v>
      </c>
      <c r="AD62" s="9">
        <v>3218.35</v>
      </c>
      <c r="AE62" s="9">
        <v>4206.85</v>
      </c>
      <c r="AF62" s="9">
        <v>4457.63</v>
      </c>
      <c r="AG62" s="16">
        <v>5933.49</v>
      </c>
      <c r="AH62" s="46">
        <f t="shared" si="11"/>
        <v>42.8152365591398</v>
      </c>
      <c r="AI62" s="56"/>
      <c r="AJ62" s="45"/>
      <c r="AK62" s="73"/>
      <c r="AL62" s="81"/>
      <c r="AM62" s="82"/>
      <c r="AN62" s="60"/>
      <c r="AO62" s="61"/>
      <c r="AP62" s="61"/>
      <c r="AQ62" s="61"/>
      <c r="AR62" s="60"/>
      <c r="AS62" s="63"/>
      <c r="AT62" s="63"/>
      <c r="AU62" s="63"/>
      <c r="AV62" s="63"/>
      <c r="AW62" s="63"/>
      <c r="AX62" s="63"/>
      <c r="AY62" s="45"/>
      <c r="AZ62" s="32"/>
    </row>
    <row r="63" s="18" customFormat="1" spans="1:52">
      <c r="A63" s="2"/>
      <c r="B63" s="4" t="s">
        <v>230</v>
      </c>
      <c r="C63" s="8" t="s">
        <v>231</v>
      </c>
      <c r="D63" s="9">
        <v>1194</v>
      </c>
      <c r="E63" s="9">
        <v>1487.5</v>
      </c>
      <c r="F63" s="9">
        <v>1591.5</v>
      </c>
      <c r="G63" s="9">
        <v>2109.5</v>
      </c>
      <c r="H63" s="9">
        <v>1804.3</v>
      </c>
      <c r="I63" s="9">
        <v>1681.1</v>
      </c>
      <c r="J63" s="9">
        <v>1534.5</v>
      </c>
      <c r="K63" s="9">
        <v>2436.1</v>
      </c>
      <c r="L63" s="9">
        <v>3121.52</v>
      </c>
      <c r="M63" s="9">
        <v>2651.31</v>
      </c>
      <c r="N63" s="9">
        <v>3163.72</v>
      </c>
      <c r="O63" s="15">
        <v>5697.44</v>
      </c>
      <c r="P63" s="48">
        <f t="shared" si="10"/>
        <v>78.3310537634409</v>
      </c>
      <c r="Q63" s="44"/>
      <c r="R63" s="45"/>
      <c r="S63" s="2"/>
      <c r="T63" s="4" t="s">
        <v>230</v>
      </c>
      <c r="U63" s="8" t="s">
        <v>231</v>
      </c>
      <c r="V63" s="9"/>
      <c r="W63" s="9">
        <v>2129.5</v>
      </c>
      <c r="X63" s="9">
        <v>3161.8</v>
      </c>
      <c r="Y63" s="9">
        <v>2535.8</v>
      </c>
      <c r="Z63" s="9">
        <v>3278.78</v>
      </c>
      <c r="AA63" s="9">
        <v>2641.83</v>
      </c>
      <c r="AB63" s="9">
        <v>2903.66</v>
      </c>
      <c r="AC63" s="9">
        <v>3568.32</v>
      </c>
      <c r="AD63" s="9">
        <v>3169.94</v>
      </c>
      <c r="AE63" s="9">
        <v>4255.3</v>
      </c>
      <c r="AF63" s="9">
        <v>3475.47</v>
      </c>
      <c r="AG63" s="16">
        <v>4002.98</v>
      </c>
      <c r="AH63" s="46">
        <f t="shared" si="11"/>
        <v>13.2793870967742</v>
      </c>
      <c r="AI63" s="56"/>
      <c r="AJ63" s="45"/>
      <c r="AK63" s="73"/>
      <c r="AL63" s="81"/>
      <c r="AM63" s="82"/>
      <c r="AN63" s="60"/>
      <c r="AO63" s="61"/>
      <c r="AP63" s="63"/>
      <c r="AQ63" s="63"/>
      <c r="AR63" s="60"/>
      <c r="AS63" s="63"/>
      <c r="AT63" s="63"/>
      <c r="AU63" s="63"/>
      <c r="AV63" s="63"/>
      <c r="AW63" s="63"/>
      <c r="AX63" s="63"/>
      <c r="AY63" s="45"/>
      <c r="AZ63" s="32"/>
    </row>
    <row r="64" s="18" customFormat="1" spans="1:52">
      <c r="A64" s="2"/>
      <c r="B64" s="20" t="s">
        <v>232</v>
      </c>
      <c r="C64" s="8" t="s">
        <v>233</v>
      </c>
      <c r="D64" s="9">
        <v>3236.5</v>
      </c>
      <c r="E64" s="9">
        <v>4130</v>
      </c>
      <c r="F64" s="9">
        <v>5877.5</v>
      </c>
      <c r="G64" s="9">
        <v>4549.1</v>
      </c>
      <c r="H64" s="9">
        <v>4693.95</v>
      </c>
      <c r="I64" s="9">
        <v>3346.59</v>
      </c>
      <c r="J64" s="9">
        <v>5056.37</v>
      </c>
      <c r="K64" s="9">
        <v>4716.2</v>
      </c>
      <c r="L64" s="9">
        <v>10764.61</v>
      </c>
      <c r="M64" s="9">
        <v>9310.46</v>
      </c>
      <c r="N64" s="9">
        <v>10090.44</v>
      </c>
      <c r="O64" s="15">
        <v>14241.15</v>
      </c>
      <c r="P64" s="48">
        <f t="shared" si="10"/>
        <v>123.043935483871</v>
      </c>
      <c r="Q64" s="44"/>
      <c r="R64" s="45"/>
      <c r="S64" s="2"/>
      <c r="T64" s="4" t="s">
        <v>232</v>
      </c>
      <c r="U64" s="8" t="s">
        <v>233</v>
      </c>
      <c r="V64" s="9"/>
      <c r="W64" s="9">
        <v>3919.2</v>
      </c>
      <c r="X64" s="9">
        <v>4594</v>
      </c>
      <c r="Y64" s="9">
        <v>4696.5</v>
      </c>
      <c r="Z64" s="9">
        <v>4906.09</v>
      </c>
      <c r="AA64" s="9">
        <v>4309.03</v>
      </c>
      <c r="AB64" s="9">
        <v>5059.6</v>
      </c>
      <c r="AC64" s="9">
        <v>5387.27</v>
      </c>
      <c r="AD64" s="9">
        <v>5013.35</v>
      </c>
      <c r="AE64" s="9">
        <v>6982.5</v>
      </c>
      <c r="AF64" s="9">
        <v>6158.49</v>
      </c>
      <c r="AG64" s="16">
        <v>7746.63</v>
      </c>
      <c r="AH64" s="46">
        <f t="shared" si="11"/>
        <v>44.6082903225807</v>
      </c>
      <c r="AI64" s="56"/>
      <c r="AJ64" s="45"/>
      <c r="AK64" s="73"/>
      <c r="AL64" s="81"/>
      <c r="AM64" s="82"/>
      <c r="AN64" s="60"/>
      <c r="AO64" s="61"/>
      <c r="AP64" s="63"/>
      <c r="AQ64" s="63"/>
      <c r="AR64" s="60"/>
      <c r="AS64" s="63"/>
      <c r="AT64" s="63"/>
      <c r="AU64" s="63"/>
      <c r="AV64" s="63"/>
      <c r="AW64" s="63"/>
      <c r="AX64" s="63"/>
      <c r="AY64" s="45"/>
      <c r="AZ64" s="32"/>
    </row>
    <row r="65" s="18" customFormat="1" spans="1:52">
      <c r="A65" s="2"/>
      <c r="B65" s="20" t="s">
        <v>234</v>
      </c>
      <c r="C65" s="8" t="s">
        <v>235</v>
      </c>
      <c r="D65" s="9">
        <v>2952</v>
      </c>
      <c r="E65" s="9">
        <v>4844.5</v>
      </c>
      <c r="F65" s="9">
        <v>6969</v>
      </c>
      <c r="G65" s="9">
        <v>6199.1</v>
      </c>
      <c r="H65" s="9">
        <v>5499.86</v>
      </c>
      <c r="I65" s="9">
        <v>5580.01</v>
      </c>
      <c r="J65" s="9">
        <v>7475.47</v>
      </c>
      <c r="K65" s="9">
        <v>8456.5</v>
      </c>
      <c r="L65" s="9">
        <v>11816.01</v>
      </c>
      <c r="M65" s="9">
        <v>11897.38</v>
      </c>
      <c r="N65" s="9">
        <v>11022.67</v>
      </c>
      <c r="O65" s="15">
        <v>15360.71</v>
      </c>
      <c r="P65" s="48">
        <f t="shared" si="10"/>
        <v>128.084440860215</v>
      </c>
      <c r="Q65" s="44"/>
      <c r="R65" s="45"/>
      <c r="S65" s="2"/>
      <c r="T65" s="4" t="s">
        <v>234</v>
      </c>
      <c r="U65" s="8" t="s">
        <v>235</v>
      </c>
      <c r="V65" s="9"/>
      <c r="W65" s="9">
        <v>7590.3</v>
      </c>
      <c r="X65" s="9">
        <v>10167.8</v>
      </c>
      <c r="Y65" s="9">
        <v>9357.5</v>
      </c>
      <c r="Z65" s="9">
        <v>8313</v>
      </c>
      <c r="AA65" s="9">
        <v>8062.37</v>
      </c>
      <c r="AB65" s="9">
        <v>8694.95</v>
      </c>
      <c r="AC65" s="9">
        <v>9674.17</v>
      </c>
      <c r="AD65" s="9">
        <v>9245.25</v>
      </c>
      <c r="AE65" s="9">
        <v>10842.11</v>
      </c>
      <c r="AF65" s="9">
        <v>9578.48</v>
      </c>
      <c r="AG65" s="16">
        <v>10809.67</v>
      </c>
      <c r="AH65" s="46">
        <f t="shared" si="11"/>
        <v>29.4163655913978</v>
      </c>
      <c r="AI65" s="56"/>
      <c r="AJ65" s="45"/>
      <c r="AK65" s="73"/>
      <c r="AL65" s="81"/>
      <c r="AM65" s="82"/>
      <c r="AN65" s="60"/>
      <c r="AO65" s="61"/>
      <c r="AP65" s="63"/>
      <c r="AQ65" s="63"/>
      <c r="AR65" s="60"/>
      <c r="AS65" s="63"/>
      <c r="AT65" s="63"/>
      <c r="AU65" s="63"/>
      <c r="AV65" s="63"/>
      <c r="AW65" s="63"/>
      <c r="AX65" s="63"/>
      <c r="AY65" s="45"/>
      <c r="AZ65" s="32"/>
    </row>
    <row r="66" s="18" customFormat="1" spans="1:52">
      <c r="A66" s="2"/>
      <c r="B66" s="4" t="s">
        <v>236</v>
      </c>
      <c r="C66" s="8" t="s">
        <v>237</v>
      </c>
      <c r="D66" s="9">
        <v>323</v>
      </c>
      <c r="E66" s="9">
        <v>1284</v>
      </c>
      <c r="F66" s="9">
        <v>2702</v>
      </c>
      <c r="G66" s="9">
        <v>1521.5</v>
      </c>
      <c r="H66" s="9">
        <v>1700.43</v>
      </c>
      <c r="I66" s="9">
        <v>2141.8</v>
      </c>
      <c r="J66" s="9">
        <v>2044.52</v>
      </c>
      <c r="K66" s="9">
        <v>1676.8</v>
      </c>
      <c r="L66" s="9">
        <v>5753.84</v>
      </c>
      <c r="M66" s="9">
        <v>4486.39</v>
      </c>
      <c r="N66" s="9">
        <v>5183.61</v>
      </c>
      <c r="O66" s="15">
        <v>7393.83</v>
      </c>
      <c r="P66" s="48">
        <f t="shared" si="10"/>
        <v>65.7236451612903</v>
      </c>
      <c r="Q66" s="44"/>
      <c r="R66" s="45"/>
      <c r="S66" s="2"/>
      <c r="T66" s="4" t="s">
        <v>236</v>
      </c>
      <c r="U66" s="8" t="s">
        <v>237</v>
      </c>
      <c r="V66" s="9"/>
      <c r="W66" s="9">
        <v>5336.8</v>
      </c>
      <c r="X66" s="9">
        <v>8539.8</v>
      </c>
      <c r="Y66" s="9">
        <v>8486</v>
      </c>
      <c r="Z66" s="9">
        <v>8291.22</v>
      </c>
      <c r="AA66" s="9">
        <v>7923.32</v>
      </c>
      <c r="AB66" s="9">
        <v>8634.09</v>
      </c>
      <c r="AC66" s="9">
        <v>8646.08</v>
      </c>
      <c r="AD66" s="9">
        <v>6964.9</v>
      </c>
      <c r="AE66" s="9">
        <v>7147.82</v>
      </c>
      <c r="AF66" s="9">
        <v>6475.69</v>
      </c>
      <c r="AG66" s="16">
        <v>7513.09</v>
      </c>
      <c r="AH66" s="46">
        <f t="shared" si="11"/>
        <v>26.5014086021506</v>
      </c>
      <c r="AI66" s="56"/>
      <c r="AJ66" s="45"/>
      <c r="AK66" s="73"/>
      <c r="AL66" s="81"/>
      <c r="AM66" s="82"/>
      <c r="AN66" s="60"/>
      <c r="AO66" s="61"/>
      <c r="AP66" s="63"/>
      <c r="AQ66" s="63"/>
      <c r="AR66" s="60"/>
      <c r="AS66" s="63"/>
      <c r="AT66" s="63"/>
      <c r="AU66" s="63"/>
      <c r="AV66" s="63"/>
      <c r="AW66" s="63"/>
      <c r="AX66" s="63"/>
      <c r="AY66" s="45"/>
      <c r="AZ66" s="32"/>
    </row>
    <row r="67" s="18" customFormat="1" spans="1:52">
      <c r="A67" s="2"/>
      <c r="B67" s="4" t="s">
        <v>238</v>
      </c>
      <c r="C67" s="8" t="s">
        <v>239</v>
      </c>
      <c r="D67" s="9"/>
      <c r="E67" s="9"/>
      <c r="F67" s="9"/>
      <c r="G67" s="9"/>
      <c r="H67" s="9"/>
      <c r="I67" s="9"/>
      <c r="J67" s="9"/>
      <c r="K67" s="9">
        <v>601</v>
      </c>
      <c r="L67" s="9">
        <v>688.31</v>
      </c>
      <c r="M67" s="9">
        <v>265.05</v>
      </c>
      <c r="N67" s="14"/>
      <c r="O67" s="9">
        <v>37.5</v>
      </c>
      <c r="P67" s="43">
        <f t="shared" si="10"/>
        <v>1.20967741935484</v>
      </c>
      <c r="Q67" s="44"/>
      <c r="R67" s="45"/>
      <c r="S67" s="2"/>
      <c r="T67" s="4" t="s">
        <v>238</v>
      </c>
      <c r="U67" s="8" t="s">
        <v>239</v>
      </c>
      <c r="V67" s="9"/>
      <c r="W67" s="9">
        <v>430.9</v>
      </c>
      <c r="X67" s="9">
        <v>3052.4</v>
      </c>
      <c r="Y67" s="9">
        <v>3122.5</v>
      </c>
      <c r="Z67" s="9">
        <v>3227.38</v>
      </c>
      <c r="AA67" s="9">
        <v>3282.76</v>
      </c>
      <c r="AB67" s="9">
        <v>2805.73</v>
      </c>
      <c r="AC67" s="9">
        <v>2230.78</v>
      </c>
      <c r="AD67" s="9">
        <v>1859.02</v>
      </c>
      <c r="AE67" s="9">
        <v>1840.12</v>
      </c>
      <c r="AF67" s="9">
        <v>1403.63</v>
      </c>
      <c r="AG67" s="22">
        <v>1464.18</v>
      </c>
      <c r="AH67" s="46">
        <f t="shared" si="11"/>
        <v>0.443946236559135</v>
      </c>
      <c r="AI67" s="83"/>
      <c r="AJ67" s="45"/>
      <c r="AK67" s="73"/>
      <c r="AL67" s="81"/>
      <c r="AM67" s="82"/>
      <c r="AN67" s="60"/>
      <c r="AO67" s="61"/>
      <c r="AP67" s="63"/>
      <c r="AQ67" s="63"/>
      <c r="AR67" s="60"/>
      <c r="AS67" s="63"/>
      <c r="AT67" s="63"/>
      <c r="AU67" s="63"/>
      <c r="AV67" s="63"/>
      <c r="AW67" s="63"/>
      <c r="AX67" s="63"/>
      <c r="AY67" s="45"/>
      <c r="AZ67" s="32"/>
    </row>
    <row r="68" s="18" customFormat="1" spans="1:52">
      <c r="A68" s="2"/>
      <c r="B68" s="5" t="s">
        <v>240</v>
      </c>
      <c r="C68" s="8" t="s">
        <v>241</v>
      </c>
      <c r="D68" s="9"/>
      <c r="E68" s="9"/>
      <c r="F68" s="9"/>
      <c r="G68" s="9"/>
      <c r="H68" s="9"/>
      <c r="I68" s="9"/>
      <c r="J68" s="9"/>
      <c r="K68" s="9"/>
      <c r="L68" s="9">
        <v>35.9</v>
      </c>
      <c r="M68" s="10"/>
      <c r="N68" s="10"/>
      <c r="O68" s="9">
        <v>8.23</v>
      </c>
      <c r="P68" s="43">
        <f t="shared" si="10"/>
        <v>0.265483870967742</v>
      </c>
      <c r="Q68" s="44"/>
      <c r="R68" s="45"/>
      <c r="S68" s="2"/>
      <c r="T68" s="5" t="s">
        <v>240</v>
      </c>
      <c r="U68" s="8" t="s">
        <v>241</v>
      </c>
      <c r="V68" s="9"/>
      <c r="W68" s="9"/>
      <c r="X68" s="9"/>
      <c r="Y68" s="9"/>
      <c r="Z68" s="9"/>
      <c r="AA68" s="9">
        <v>12.81</v>
      </c>
      <c r="AB68" s="9"/>
      <c r="AC68" s="9"/>
      <c r="AD68" s="10"/>
      <c r="AE68" s="10"/>
      <c r="AF68" s="10"/>
      <c r="AG68" s="10"/>
      <c r="AH68" s="46">
        <f t="shared" si="11"/>
        <v>0</v>
      </c>
      <c r="AI68" s="54"/>
      <c r="AJ68" s="45"/>
      <c r="AK68" s="73"/>
      <c r="AL68" s="81"/>
      <c r="AM68" s="82"/>
      <c r="AN68" s="60"/>
      <c r="AO68" s="61"/>
      <c r="AP68" s="63"/>
      <c r="AQ68" s="63"/>
      <c r="AR68" s="60"/>
      <c r="AS68" s="63"/>
      <c r="AT68" s="63"/>
      <c r="AU68" s="63"/>
      <c r="AV68" s="63"/>
      <c r="AW68" s="63"/>
      <c r="AX68" s="63"/>
      <c r="AY68" s="45"/>
      <c r="AZ68" s="32"/>
    </row>
    <row r="69" s="18" customFormat="1" spans="1:52">
      <c r="A69" s="2"/>
      <c r="B69" s="4" t="s">
        <v>242</v>
      </c>
      <c r="C69" s="8" t="s">
        <v>243</v>
      </c>
      <c r="D69" s="10"/>
      <c r="E69" s="10"/>
      <c r="F69" s="10"/>
      <c r="G69" s="10"/>
      <c r="H69" s="10"/>
      <c r="I69" s="10"/>
      <c r="J69" s="9"/>
      <c r="K69" s="9"/>
      <c r="L69" s="10"/>
      <c r="M69" s="10"/>
      <c r="N69" s="10"/>
      <c r="O69" s="10"/>
      <c r="P69" s="43">
        <f t="shared" si="10"/>
        <v>0</v>
      </c>
      <c r="Q69" s="54"/>
      <c r="R69" s="45"/>
      <c r="S69" s="2"/>
      <c r="T69" s="4" t="s">
        <v>242</v>
      </c>
      <c r="U69" s="8" t="s">
        <v>243</v>
      </c>
      <c r="V69" s="10"/>
      <c r="W69" s="10"/>
      <c r="X69" s="10"/>
      <c r="Y69" s="10"/>
      <c r="Z69" s="10"/>
      <c r="AA69" s="10"/>
      <c r="AB69" s="9"/>
      <c r="AC69" s="9"/>
      <c r="AD69" s="10"/>
      <c r="AE69" s="10"/>
      <c r="AF69" s="10"/>
      <c r="AG69" s="10"/>
      <c r="AH69" s="46">
        <f t="shared" si="11"/>
        <v>0</v>
      </c>
      <c r="AI69" s="54"/>
      <c r="AJ69" s="45"/>
      <c r="AK69" s="73"/>
      <c r="AL69" s="81"/>
      <c r="AM69" s="82"/>
      <c r="AN69" s="60"/>
      <c r="AO69" s="61"/>
      <c r="AP69" s="63"/>
      <c r="AQ69" s="63"/>
      <c r="AR69" s="60"/>
      <c r="AS69" s="63"/>
      <c r="AT69" s="63"/>
      <c r="AU69" s="63"/>
      <c r="AV69" s="63"/>
      <c r="AW69" s="63"/>
      <c r="AX69" s="63"/>
      <c r="AY69" s="45"/>
      <c r="AZ69" s="32"/>
    </row>
    <row r="70" s="18" customFormat="1" spans="1:52">
      <c r="A70" s="2"/>
      <c r="B70" s="4" t="s">
        <v>244</v>
      </c>
      <c r="C70" s="8" t="s">
        <v>245</v>
      </c>
      <c r="D70" s="11"/>
      <c r="E70" s="13"/>
      <c r="F70" s="13"/>
      <c r="G70" s="13"/>
      <c r="H70" s="11"/>
      <c r="I70" s="14"/>
      <c r="J70" s="9"/>
      <c r="K70" s="9"/>
      <c r="L70" s="14"/>
      <c r="M70" s="9">
        <v>18.23</v>
      </c>
      <c r="N70" s="14"/>
      <c r="O70" s="16"/>
      <c r="P70" s="43">
        <f t="shared" si="10"/>
        <v>0</v>
      </c>
      <c r="Q70" s="56"/>
      <c r="R70" s="45"/>
      <c r="S70" s="2"/>
      <c r="T70" s="4" t="s">
        <v>244</v>
      </c>
      <c r="U70" s="8" t="s">
        <v>245</v>
      </c>
      <c r="V70" s="11"/>
      <c r="W70" s="13"/>
      <c r="X70" s="13"/>
      <c r="Y70" s="13"/>
      <c r="Z70" s="11"/>
      <c r="AA70" s="14"/>
      <c r="AB70" s="9"/>
      <c r="AC70" s="9"/>
      <c r="AD70" s="14"/>
      <c r="AE70" s="14"/>
      <c r="AF70" s="14"/>
      <c r="AG70" s="16"/>
      <c r="AH70" s="46">
        <f t="shared" si="11"/>
        <v>0</v>
      </c>
      <c r="AI70" s="56"/>
      <c r="AJ70" s="45"/>
      <c r="AK70" s="73"/>
      <c r="AL70" s="81"/>
      <c r="AM70" s="82"/>
      <c r="AN70" s="60"/>
      <c r="AO70" s="61"/>
      <c r="AP70" s="63"/>
      <c r="AQ70" s="63"/>
      <c r="AR70" s="60"/>
      <c r="AS70" s="63"/>
      <c r="AT70" s="63"/>
      <c r="AU70" s="63"/>
      <c r="AV70" s="63"/>
      <c r="AW70" s="63"/>
      <c r="AX70" s="63"/>
      <c r="AY70" s="45"/>
      <c r="AZ70" s="32"/>
    </row>
    <row r="71" s="18" customFormat="1" spans="1:52">
      <c r="A71" s="2"/>
      <c r="B71" s="6" t="s">
        <v>246</v>
      </c>
      <c r="C71" s="8"/>
      <c r="D71" s="12">
        <f t="shared" ref="D71:O71" si="12">SUM(D51:D70)</f>
        <v>136025</v>
      </c>
      <c r="E71" s="12">
        <f t="shared" si="12"/>
        <v>145799.5</v>
      </c>
      <c r="F71" s="12">
        <f t="shared" si="12"/>
        <v>166490.5</v>
      </c>
      <c r="G71" s="12">
        <f t="shared" si="12"/>
        <v>163260.2</v>
      </c>
      <c r="H71" s="12">
        <f t="shared" si="12"/>
        <v>164370.79</v>
      </c>
      <c r="I71" s="12">
        <f t="shared" si="12"/>
        <v>156997.08</v>
      </c>
      <c r="J71" s="12">
        <f t="shared" si="12"/>
        <v>194112.93</v>
      </c>
      <c r="K71" s="12">
        <f t="shared" si="12"/>
        <v>190675.24</v>
      </c>
      <c r="L71" s="12">
        <f t="shared" si="12"/>
        <v>221976.98</v>
      </c>
      <c r="M71" s="12">
        <f t="shared" si="12"/>
        <v>214316.54</v>
      </c>
      <c r="N71" s="12">
        <f t="shared" si="12"/>
        <v>197588.87</v>
      </c>
      <c r="O71" s="12">
        <f t="shared" si="12"/>
        <v>248381.65</v>
      </c>
      <c r="P71" s="43">
        <f t="shared" si="10"/>
        <v>1426.01562365591</v>
      </c>
      <c r="Q71" s="56"/>
      <c r="R71" s="45"/>
      <c r="S71" s="2"/>
      <c r="T71" s="6" t="s">
        <v>246</v>
      </c>
      <c r="U71" s="8"/>
      <c r="V71" s="12">
        <f t="shared" ref="V71:AG71" si="13">SUM(V51:V70)</f>
        <v>0</v>
      </c>
      <c r="W71" s="12">
        <f t="shared" si="13"/>
        <v>100046.3</v>
      </c>
      <c r="X71" s="12">
        <f t="shared" si="13"/>
        <v>155780.9</v>
      </c>
      <c r="Y71" s="12">
        <f t="shared" si="13"/>
        <v>142137</v>
      </c>
      <c r="Z71" s="12">
        <f t="shared" si="13"/>
        <v>146108.97</v>
      </c>
      <c r="AA71" s="12">
        <f t="shared" si="13"/>
        <v>132483.6</v>
      </c>
      <c r="AB71" s="12">
        <f t="shared" si="13"/>
        <v>149499.94</v>
      </c>
      <c r="AC71" s="12">
        <f t="shared" si="13"/>
        <v>165453.41</v>
      </c>
      <c r="AD71" s="12">
        <f t="shared" si="13"/>
        <v>138579.26</v>
      </c>
      <c r="AE71" s="12">
        <f t="shared" si="13"/>
        <v>168507.58</v>
      </c>
      <c r="AF71" s="12">
        <f t="shared" si="13"/>
        <v>154397.71</v>
      </c>
      <c r="AG71" s="12">
        <f t="shared" si="13"/>
        <v>181043.08</v>
      </c>
      <c r="AH71" s="46">
        <f t="shared" si="11"/>
        <v>693.509021505376</v>
      </c>
      <c r="AI71" s="56"/>
      <c r="AJ71" s="45"/>
      <c r="AK71" s="73"/>
      <c r="AL71" s="81"/>
      <c r="AM71" s="82"/>
      <c r="AN71" s="60"/>
      <c r="AO71" s="61"/>
      <c r="AP71" s="63"/>
      <c r="AQ71" s="63"/>
      <c r="AR71" s="60"/>
      <c r="AS71" s="63"/>
      <c r="AT71" s="63"/>
      <c r="AU71" s="63"/>
      <c r="AV71" s="63"/>
      <c r="AW71" s="63"/>
      <c r="AX71" s="63"/>
      <c r="AY71" s="45"/>
      <c r="AZ71" s="32"/>
    </row>
    <row r="72" s="18" customFormat="1" spans="1:52">
      <c r="A72" s="69"/>
      <c r="B72" s="58"/>
      <c r="C72" s="59"/>
      <c r="D72" s="60"/>
      <c r="E72" s="61"/>
      <c r="F72" s="61"/>
      <c r="G72" s="63"/>
      <c r="H72" s="61"/>
      <c r="I72" s="61"/>
      <c r="J72" s="64"/>
      <c r="K72" s="64"/>
      <c r="L72" s="64"/>
      <c r="M72" s="64"/>
      <c r="N72" s="64"/>
      <c r="O72" s="45"/>
      <c r="P72" s="74"/>
      <c r="Q72" s="45"/>
      <c r="R72" s="45"/>
      <c r="S72" s="69"/>
      <c r="T72" s="58"/>
      <c r="U72" s="59"/>
      <c r="V72" s="60"/>
      <c r="W72" s="84"/>
      <c r="X72" s="63"/>
      <c r="Y72" s="63"/>
      <c r="Z72" s="60"/>
      <c r="AA72" s="61"/>
      <c r="AB72" s="61"/>
      <c r="AC72" s="61"/>
      <c r="AD72" s="61"/>
      <c r="AE72" s="61"/>
      <c r="AF72" s="61"/>
      <c r="AG72" s="65"/>
      <c r="AH72" s="68"/>
      <c r="AI72" s="65"/>
      <c r="AJ72" s="45"/>
      <c r="AK72" s="73"/>
      <c r="AL72" s="81"/>
      <c r="AM72" s="82"/>
      <c r="AN72" s="60"/>
      <c r="AO72" s="61"/>
      <c r="AP72" s="63"/>
      <c r="AQ72" s="63"/>
      <c r="AR72" s="60"/>
      <c r="AS72" s="63"/>
      <c r="AT72" s="63"/>
      <c r="AU72" s="63"/>
      <c r="AV72" s="63"/>
      <c r="AW72" s="63"/>
      <c r="AX72" s="63"/>
      <c r="AY72" s="45"/>
      <c r="AZ72" s="32"/>
    </row>
    <row r="73" s="18" customFormat="1" spans="1:52">
      <c r="A73" s="69"/>
      <c r="B73" s="71"/>
      <c r="C73" s="59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80"/>
      <c r="Q73" s="72"/>
      <c r="R73" s="45"/>
      <c r="S73" s="69"/>
      <c r="T73" s="58"/>
      <c r="U73" s="59"/>
      <c r="V73" s="60"/>
      <c r="W73" s="84"/>
      <c r="X73" s="63"/>
      <c r="Y73" s="63"/>
      <c r="Z73" s="60"/>
      <c r="AA73" s="61"/>
      <c r="AB73" s="61"/>
      <c r="AC73" s="61"/>
      <c r="AD73" s="61"/>
      <c r="AE73" s="61"/>
      <c r="AF73" s="61"/>
      <c r="AG73" s="65"/>
      <c r="AH73" s="68"/>
      <c r="AI73" s="65"/>
      <c r="AJ73" s="45"/>
      <c r="AK73" s="73"/>
      <c r="AL73" s="81"/>
      <c r="AM73" s="82"/>
      <c r="AN73" s="60"/>
      <c r="AO73" s="61"/>
      <c r="AP73" s="63"/>
      <c r="AQ73" s="63"/>
      <c r="AR73" s="60"/>
      <c r="AS73" s="63"/>
      <c r="AT73" s="63"/>
      <c r="AU73" s="63"/>
      <c r="AV73" s="63"/>
      <c r="AW73" s="63"/>
      <c r="AX73" s="63"/>
      <c r="AY73" s="45"/>
      <c r="AZ73" s="32"/>
    </row>
    <row r="74" s="18" customFormat="1" ht="26" spans="1:52">
      <c r="A74" s="17" t="s">
        <v>202</v>
      </c>
      <c r="B74" s="19"/>
      <c r="C74" s="17" t="s">
        <v>203</v>
      </c>
      <c r="D74" s="17" t="s">
        <v>2</v>
      </c>
      <c r="E74" s="17" t="s">
        <v>3</v>
      </c>
      <c r="F74" s="17" t="s">
        <v>4</v>
      </c>
      <c r="G74" s="17" t="s">
        <v>5</v>
      </c>
      <c r="H74" s="17" t="s">
        <v>6</v>
      </c>
      <c r="I74" s="17" t="s">
        <v>7</v>
      </c>
      <c r="J74" s="17" t="s">
        <v>8</v>
      </c>
      <c r="K74" s="17" t="s">
        <v>9</v>
      </c>
      <c r="L74" s="17" t="s">
        <v>10</v>
      </c>
      <c r="M74" s="17" t="s">
        <v>11</v>
      </c>
      <c r="N74" s="1" t="s">
        <v>12</v>
      </c>
      <c r="O74" s="1" t="s">
        <v>13</v>
      </c>
      <c r="P74" s="38" t="s">
        <v>204</v>
      </c>
      <c r="Q74" s="39"/>
      <c r="R74" s="45"/>
      <c r="S74" s="69"/>
      <c r="T74" s="58"/>
      <c r="U74" s="59"/>
      <c r="V74" s="60"/>
      <c r="W74" s="84"/>
      <c r="X74" s="63"/>
      <c r="Y74" s="63"/>
      <c r="Z74" s="60"/>
      <c r="AA74" s="61"/>
      <c r="AB74" s="61"/>
      <c r="AC74" s="61"/>
      <c r="AD74" s="61"/>
      <c r="AE74" s="61"/>
      <c r="AF74" s="61"/>
      <c r="AG74" s="65"/>
      <c r="AH74" s="68"/>
      <c r="AI74" s="65"/>
      <c r="AJ74" s="45"/>
      <c r="AK74" s="73"/>
      <c r="AL74" s="81"/>
      <c r="AM74" s="82"/>
      <c r="AN74" s="60"/>
      <c r="AO74" s="61"/>
      <c r="AP74" s="63"/>
      <c r="AQ74" s="63"/>
      <c r="AR74" s="60"/>
      <c r="AS74" s="63"/>
      <c r="AT74" s="63"/>
      <c r="AU74" s="63"/>
      <c r="AV74" s="63"/>
      <c r="AW74" s="63"/>
      <c r="AX74" s="63"/>
      <c r="AY74" s="45"/>
      <c r="AZ74" s="32"/>
    </row>
    <row r="75" s="18" customFormat="1" spans="1:52">
      <c r="A75" s="2" t="s">
        <v>54</v>
      </c>
      <c r="B75" s="4" t="s">
        <v>205</v>
      </c>
      <c r="C75" s="7" t="s">
        <v>206</v>
      </c>
      <c r="D75" s="9"/>
      <c r="E75" s="9"/>
      <c r="F75" s="9"/>
      <c r="G75" s="9"/>
      <c r="H75" s="9"/>
      <c r="I75" s="9"/>
      <c r="J75" s="9"/>
      <c r="K75" s="9"/>
      <c r="L75" s="14">
        <v>55.83</v>
      </c>
      <c r="M75" s="14">
        <v>204.18</v>
      </c>
      <c r="N75" s="9">
        <v>83.06</v>
      </c>
      <c r="O75" s="9">
        <v>71.28</v>
      </c>
      <c r="P75" s="43">
        <f t="shared" ref="P75:P95" si="14">O75/31-N75/30</f>
        <v>-0.469311827956989</v>
      </c>
      <c r="Q75" s="44"/>
      <c r="R75" s="45"/>
      <c r="S75" s="69"/>
      <c r="T75" s="58"/>
      <c r="U75" s="59"/>
      <c r="V75" s="60"/>
      <c r="W75" s="84"/>
      <c r="X75" s="63"/>
      <c r="Y75" s="63"/>
      <c r="Z75" s="60"/>
      <c r="AA75" s="61"/>
      <c r="AB75" s="61"/>
      <c r="AC75" s="61"/>
      <c r="AD75" s="61"/>
      <c r="AE75" s="61"/>
      <c r="AF75" s="61"/>
      <c r="AG75" s="65"/>
      <c r="AH75" s="68"/>
      <c r="AI75" s="65"/>
      <c r="AJ75" s="45"/>
      <c r="AK75" s="73"/>
      <c r="AL75" s="81"/>
      <c r="AM75" s="82"/>
      <c r="AN75" s="60"/>
      <c r="AO75" s="61"/>
      <c r="AP75" s="63"/>
      <c r="AQ75" s="63"/>
      <c r="AR75" s="60"/>
      <c r="AS75" s="63"/>
      <c r="AT75" s="63"/>
      <c r="AU75" s="63"/>
      <c r="AV75" s="63"/>
      <c r="AW75" s="63"/>
      <c r="AX75" s="63"/>
      <c r="AY75" s="45"/>
      <c r="AZ75" s="32"/>
    </row>
    <row r="76" s="18" customFormat="1" spans="1:52">
      <c r="A76" s="2"/>
      <c r="B76" s="4" t="s">
        <v>208</v>
      </c>
      <c r="C76" s="8" t="s">
        <v>209</v>
      </c>
      <c r="D76" s="9">
        <v>29</v>
      </c>
      <c r="E76" s="9">
        <v>24</v>
      </c>
      <c r="F76" s="9">
        <v>49</v>
      </c>
      <c r="G76" s="9">
        <v>102</v>
      </c>
      <c r="H76" s="9">
        <v>319.09</v>
      </c>
      <c r="I76" s="9">
        <v>241.49</v>
      </c>
      <c r="J76" s="9">
        <v>273.77</v>
      </c>
      <c r="K76" s="9">
        <v>390.4</v>
      </c>
      <c r="L76" s="9">
        <v>402.58</v>
      </c>
      <c r="M76" s="9">
        <v>221.22</v>
      </c>
      <c r="N76" s="9">
        <v>181.24</v>
      </c>
      <c r="O76" s="9">
        <v>399.27</v>
      </c>
      <c r="P76" s="43">
        <f t="shared" si="14"/>
        <v>6.8383440860215</v>
      </c>
      <c r="Q76" s="44"/>
      <c r="R76" s="45"/>
      <c r="S76" s="69"/>
      <c r="T76" s="58"/>
      <c r="U76" s="59"/>
      <c r="V76" s="60"/>
      <c r="W76" s="84"/>
      <c r="X76" s="63"/>
      <c r="Y76" s="63"/>
      <c r="Z76" s="60"/>
      <c r="AA76" s="61"/>
      <c r="AB76" s="61"/>
      <c r="AC76" s="61"/>
      <c r="AD76" s="61"/>
      <c r="AE76" s="61"/>
      <c r="AF76" s="61"/>
      <c r="AG76" s="65"/>
      <c r="AH76" s="68"/>
      <c r="AI76" s="65"/>
      <c r="AJ76" s="45"/>
      <c r="AK76" s="73"/>
      <c r="AL76" s="81"/>
      <c r="AM76" s="82"/>
      <c r="AN76" s="60"/>
      <c r="AO76" s="61"/>
      <c r="AP76" s="63"/>
      <c r="AQ76" s="63"/>
      <c r="AR76" s="60"/>
      <c r="AS76" s="63"/>
      <c r="AT76" s="63"/>
      <c r="AU76" s="63"/>
      <c r="AV76" s="63"/>
      <c r="AW76" s="63"/>
      <c r="AX76" s="63"/>
      <c r="AY76" s="45"/>
      <c r="AZ76" s="32"/>
    </row>
    <row r="77" s="18" customFormat="1" spans="1:52">
      <c r="A77" s="2"/>
      <c r="B77" s="4" t="s">
        <v>210</v>
      </c>
      <c r="C77" s="8" t="s">
        <v>211</v>
      </c>
      <c r="D77" s="9">
        <v>1234.89</v>
      </c>
      <c r="E77" s="9">
        <v>1403</v>
      </c>
      <c r="F77" s="9">
        <v>1953.6</v>
      </c>
      <c r="G77" s="9">
        <v>2830.3</v>
      </c>
      <c r="H77" s="9">
        <v>3532.97</v>
      </c>
      <c r="I77" s="9">
        <v>3288.21</v>
      </c>
      <c r="J77" s="9">
        <v>3361.25</v>
      </c>
      <c r="K77" s="9">
        <v>2793.7</v>
      </c>
      <c r="L77" s="9">
        <v>5001.78</v>
      </c>
      <c r="M77" s="9">
        <v>3472.51</v>
      </c>
      <c r="N77" s="9">
        <v>2985.74</v>
      </c>
      <c r="O77" s="9">
        <v>2469.05</v>
      </c>
      <c r="P77" s="43">
        <f t="shared" si="14"/>
        <v>-19.8778924731183</v>
      </c>
      <c r="Q77" s="44"/>
      <c r="R77" s="45"/>
      <c r="S77" s="69"/>
      <c r="T77" s="58"/>
      <c r="U77" s="59"/>
      <c r="V77" s="60"/>
      <c r="W77" s="84"/>
      <c r="X77" s="63"/>
      <c r="Y77" s="63"/>
      <c r="Z77" s="60"/>
      <c r="AA77" s="61"/>
      <c r="AB77" s="61"/>
      <c r="AC77" s="61"/>
      <c r="AD77" s="61"/>
      <c r="AE77" s="61"/>
      <c r="AF77" s="61"/>
      <c r="AG77" s="65"/>
      <c r="AH77" s="68"/>
      <c r="AI77" s="65"/>
      <c r="AJ77" s="45"/>
      <c r="AK77" s="73"/>
      <c r="AL77" s="81"/>
      <c r="AM77" s="82"/>
      <c r="AN77" s="60"/>
      <c r="AO77" s="61"/>
      <c r="AP77" s="63"/>
      <c r="AQ77" s="63"/>
      <c r="AR77" s="60"/>
      <c r="AS77" s="63"/>
      <c r="AT77" s="63"/>
      <c r="AU77" s="63"/>
      <c r="AV77" s="63"/>
      <c r="AW77" s="63"/>
      <c r="AX77" s="63"/>
      <c r="AY77" s="45"/>
      <c r="AZ77" s="32"/>
    </row>
    <row r="78" s="18" customFormat="1" spans="1:52">
      <c r="A78" s="2"/>
      <c r="B78" s="4" t="s">
        <v>212</v>
      </c>
      <c r="C78" s="8" t="s">
        <v>213</v>
      </c>
      <c r="D78" s="9">
        <v>5957.67</v>
      </c>
      <c r="E78" s="9">
        <v>5920.34</v>
      </c>
      <c r="F78" s="9">
        <v>8635.13</v>
      </c>
      <c r="G78" s="9">
        <v>9192.14</v>
      </c>
      <c r="H78" s="9">
        <v>10674.82</v>
      </c>
      <c r="I78" s="9">
        <v>9683.76</v>
      </c>
      <c r="J78" s="9">
        <v>11591.12</v>
      </c>
      <c r="K78" s="9">
        <v>10596.68</v>
      </c>
      <c r="L78" s="9">
        <v>11753.65</v>
      </c>
      <c r="M78" s="9">
        <v>12794.23</v>
      </c>
      <c r="N78" s="9">
        <v>10589.69</v>
      </c>
      <c r="O78" s="15">
        <v>12717.64</v>
      </c>
      <c r="P78" s="48">
        <f t="shared" si="14"/>
        <v>57.2567849462366</v>
      </c>
      <c r="Q78" s="44"/>
      <c r="R78" s="45"/>
      <c r="S78" s="69"/>
      <c r="T78" s="58"/>
      <c r="U78" s="59"/>
      <c r="V78" s="60"/>
      <c r="W78" s="84"/>
      <c r="X78" s="61"/>
      <c r="Y78" s="61"/>
      <c r="Z78" s="61"/>
      <c r="AA78" s="61"/>
      <c r="AB78" s="61"/>
      <c r="AC78" s="61"/>
      <c r="AD78" s="61"/>
      <c r="AE78" s="61"/>
      <c r="AF78" s="61"/>
      <c r="AG78" s="45"/>
      <c r="AH78" s="85"/>
      <c r="AI78" s="45"/>
      <c r="AJ78" s="45"/>
      <c r="AK78" s="73"/>
      <c r="AL78" s="81"/>
      <c r="AM78" s="82"/>
      <c r="AN78" s="60"/>
      <c r="AO78" s="61"/>
      <c r="AP78" s="61"/>
      <c r="AQ78" s="63"/>
      <c r="AR78" s="60"/>
      <c r="AS78" s="63"/>
      <c r="AT78" s="63"/>
      <c r="AU78" s="63"/>
      <c r="AV78" s="63"/>
      <c r="AW78" s="63"/>
      <c r="AX78" s="63"/>
      <c r="AY78" s="45"/>
      <c r="AZ78" s="32"/>
    </row>
    <row r="79" s="18" customFormat="1" spans="1:52">
      <c r="A79" s="2"/>
      <c r="B79" s="4" t="s">
        <v>214</v>
      </c>
      <c r="C79" s="8" t="s">
        <v>215</v>
      </c>
      <c r="D79" s="9">
        <v>13426.6</v>
      </c>
      <c r="E79" s="9">
        <v>12838.86</v>
      </c>
      <c r="F79" s="9">
        <v>13759.61</v>
      </c>
      <c r="G79" s="9">
        <v>14393.54</v>
      </c>
      <c r="H79" s="9">
        <v>16101.75</v>
      </c>
      <c r="I79" s="9">
        <v>13267.03</v>
      </c>
      <c r="J79" s="9">
        <v>14856.82</v>
      </c>
      <c r="K79" s="9">
        <v>15921.04</v>
      </c>
      <c r="L79" s="9">
        <v>16029.97</v>
      </c>
      <c r="M79" s="9">
        <v>19438.08</v>
      </c>
      <c r="N79" s="9">
        <v>19495.13</v>
      </c>
      <c r="O79" s="15">
        <v>22927.89</v>
      </c>
      <c r="P79" s="48">
        <f t="shared" si="14"/>
        <v>89.771688172043</v>
      </c>
      <c r="Q79" s="44"/>
      <c r="R79" s="45"/>
      <c r="S79" s="69"/>
      <c r="T79" s="71"/>
      <c r="U79" s="59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86"/>
      <c r="AI79" s="72"/>
      <c r="AJ79" s="45"/>
      <c r="AK79" s="73"/>
      <c r="AL79" s="87"/>
      <c r="AM79" s="8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88"/>
    </row>
    <row r="80" s="18" customFormat="1" spans="1:52">
      <c r="A80" s="2"/>
      <c r="B80" s="4" t="s">
        <v>216</v>
      </c>
      <c r="C80" s="8" t="s">
        <v>217</v>
      </c>
      <c r="D80" s="9">
        <v>12045.56</v>
      </c>
      <c r="E80" s="9">
        <v>11265.1</v>
      </c>
      <c r="F80" s="9">
        <v>9908.44</v>
      </c>
      <c r="G80" s="9">
        <v>8987.52</v>
      </c>
      <c r="H80" s="9">
        <v>11566.21</v>
      </c>
      <c r="I80" s="9">
        <v>10981.73</v>
      </c>
      <c r="J80" s="9">
        <v>12121.93</v>
      </c>
      <c r="K80" s="9">
        <v>13071.76</v>
      </c>
      <c r="L80" s="9">
        <v>10584.53</v>
      </c>
      <c r="M80" s="9">
        <v>13388.09</v>
      </c>
      <c r="N80" s="9">
        <v>13924.85</v>
      </c>
      <c r="O80" s="15">
        <v>17322.91</v>
      </c>
      <c r="P80" s="48">
        <f t="shared" si="14"/>
        <v>94.64188172043</v>
      </c>
      <c r="Q80" s="44"/>
      <c r="R80" s="45"/>
      <c r="S80" s="67"/>
      <c r="T80" s="58"/>
      <c r="U80" s="59"/>
      <c r="V80" s="60"/>
      <c r="W80" s="61"/>
      <c r="X80" s="61"/>
      <c r="Y80" s="61"/>
      <c r="Z80" s="60"/>
      <c r="AA80" s="61"/>
      <c r="AB80" s="61"/>
      <c r="AC80" s="61"/>
      <c r="AD80" s="61"/>
      <c r="AE80" s="61"/>
      <c r="AF80" s="61"/>
      <c r="AG80" s="65"/>
      <c r="AH80" s="68"/>
      <c r="AI80" s="65"/>
      <c r="AJ80" s="45"/>
      <c r="AK80" s="67"/>
      <c r="AL80" s="79"/>
      <c r="AM80" s="82"/>
      <c r="AN80" s="60"/>
      <c r="AO80" s="61"/>
      <c r="AP80" s="61"/>
      <c r="AQ80" s="61"/>
      <c r="AR80" s="60"/>
      <c r="AS80" s="63"/>
      <c r="AT80" s="63"/>
      <c r="AU80" s="63"/>
      <c r="AV80" s="63"/>
      <c r="AW80" s="63"/>
      <c r="AX80" s="63"/>
      <c r="AY80" s="45"/>
      <c r="AZ80" s="32"/>
    </row>
    <row r="81" s="18" customFormat="1" spans="1:52">
      <c r="A81" s="2"/>
      <c r="B81" s="4" t="s">
        <v>218</v>
      </c>
      <c r="C81" s="8" t="s">
        <v>219</v>
      </c>
      <c r="D81" s="9">
        <v>9139.98</v>
      </c>
      <c r="E81" s="9">
        <v>7771.69</v>
      </c>
      <c r="F81" s="9">
        <v>5895.7</v>
      </c>
      <c r="G81" s="9">
        <v>5247.2</v>
      </c>
      <c r="H81" s="9">
        <v>6147.42</v>
      </c>
      <c r="I81" s="9">
        <v>5700.56</v>
      </c>
      <c r="J81" s="9">
        <v>7261.78</v>
      </c>
      <c r="K81" s="9">
        <v>7088.52</v>
      </c>
      <c r="L81" s="9">
        <v>5750.12</v>
      </c>
      <c r="M81" s="9">
        <v>7972.76</v>
      </c>
      <c r="N81" s="9">
        <v>7311.22</v>
      </c>
      <c r="O81" s="15">
        <v>9743.45</v>
      </c>
      <c r="P81" s="48">
        <f t="shared" si="14"/>
        <v>70.5975053763441</v>
      </c>
      <c r="Q81" s="44"/>
      <c r="R81" s="45"/>
      <c r="S81" s="67"/>
      <c r="T81" s="58"/>
      <c r="U81" s="59"/>
      <c r="V81" s="60"/>
      <c r="W81" s="61"/>
      <c r="X81" s="63"/>
      <c r="Y81" s="61"/>
      <c r="Z81" s="60"/>
      <c r="AA81" s="61"/>
      <c r="AB81" s="61"/>
      <c r="AC81" s="61"/>
      <c r="AD81" s="61"/>
      <c r="AE81" s="61"/>
      <c r="AF81" s="61"/>
      <c r="AG81" s="65"/>
      <c r="AH81" s="68"/>
      <c r="AI81" s="65"/>
      <c r="AJ81" s="45"/>
      <c r="AK81" s="67"/>
      <c r="AL81" s="79"/>
      <c r="AM81" s="82"/>
      <c r="AN81" s="60"/>
      <c r="AO81" s="61"/>
      <c r="AP81" s="63"/>
      <c r="AQ81" s="63"/>
      <c r="AR81" s="60"/>
      <c r="AS81" s="63"/>
      <c r="AT81" s="63"/>
      <c r="AU81" s="63"/>
      <c r="AV81" s="63"/>
      <c r="AW81" s="63"/>
      <c r="AX81" s="63"/>
      <c r="AY81" s="45"/>
      <c r="AZ81" s="32"/>
    </row>
    <row r="82" s="18" customFormat="1" spans="1:52">
      <c r="A82" s="2"/>
      <c r="B82" s="4" t="s">
        <v>220</v>
      </c>
      <c r="C82" s="8" t="s">
        <v>221</v>
      </c>
      <c r="D82" s="9">
        <v>7388.46</v>
      </c>
      <c r="E82" s="9">
        <v>6535.44</v>
      </c>
      <c r="F82" s="9">
        <v>5937.84</v>
      </c>
      <c r="G82" s="9">
        <v>4795.17</v>
      </c>
      <c r="H82" s="9">
        <v>5484.96</v>
      </c>
      <c r="I82" s="9">
        <v>5859.14</v>
      </c>
      <c r="J82" s="9">
        <v>6637.82</v>
      </c>
      <c r="K82" s="9">
        <v>6903.83</v>
      </c>
      <c r="L82" s="9">
        <v>6468.38</v>
      </c>
      <c r="M82" s="9">
        <v>8207.75</v>
      </c>
      <c r="N82" s="9">
        <v>8643.06</v>
      </c>
      <c r="O82" s="15">
        <v>10690.34</v>
      </c>
      <c r="P82" s="48">
        <f t="shared" si="14"/>
        <v>56.7476774193549</v>
      </c>
      <c r="Q82" s="44"/>
      <c r="R82" s="45"/>
      <c r="S82" s="67"/>
      <c r="T82" s="58"/>
      <c r="U82" s="59"/>
      <c r="V82" s="60"/>
      <c r="W82" s="61"/>
      <c r="X82" s="63"/>
      <c r="Y82" s="61"/>
      <c r="Z82" s="60"/>
      <c r="AA82" s="61"/>
      <c r="AB82" s="61"/>
      <c r="AC82" s="61"/>
      <c r="AD82" s="61"/>
      <c r="AE82" s="61"/>
      <c r="AF82" s="61"/>
      <c r="AG82" s="65"/>
      <c r="AH82" s="68"/>
      <c r="AI82" s="65"/>
      <c r="AJ82" s="45"/>
      <c r="AK82" s="67"/>
      <c r="AL82" s="79"/>
      <c r="AM82" s="82"/>
      <c r="AN82" s="60"/>
      <c r="AO82" s="61"/>
      <c r="AP82" s="63"/>
      <c r="AQ82" s="63"/>
      <c r="AR82" s="60"/>
      <c r="AS82" s="63"/>
      <c r="AT82" s="63"/>
      <c r="AU82" s="63"/>
      <c r="AV82" s="63"/>
      <c r="AW82" s="63"/>
      <c r="AX82" s="63"/>
      <c r="AY82" s="45"/>
      <c r="AZ82" s="32"/>
    </row>
    <row r="83" s="18" customFormat="1" spans="1:52">
      <c r="A83" s="2"/>
      <c r="B83" s="4" t="s">
        <v>222</v>
      </c>
      <c r="C83" s="8" t="s">
        <v>223</v>
      </c>
      <c r="D83" s="9">
        <v>8697</v>
      </c>
      <c r="E83" s="9">
        <v>6920.33</v>
      </c>
      <c r="F83" s="9">
        <v>6733.55</v>
      </c>
      <c r="G83" s="9">
        <v>5978.58</v>
      </c>
      <c r="H83" s="9">
        <v>6011.65</v>
      </c>
      <c r="I83" s="9">
        <v>5562.62</v>
      </c>
      <c r="J83" s="9">
        <v>6228.04</v>
      </c>
      <c r="K83" s="9">
        <v>6064.62</v>
      </c>
      <c r="L83" s="9">
        <v>7469.75</v>
      </c>
      <c r="M83" s="9">
        <v>8002.94</v>
      </c>
      <c r="N83" s="9">
        <v>9045.11</v>
      </c>
      <c r="O83" s="15">
        <v>9846.96</v>
      </c>
      <c r="P83" s="48">
        <f t="shared" si="14"/>
        <v>16.1402043010752</v>
      </c>
      <c r="Q83" s="44"/>
      <c r="R83" s="45"/>
      <c r="S83" s="67"/>
      <c r="T83" s="58"/>
      <c r="U83" s="59"/>
      <c r="V83" s="60"/>
      <c r="W83" s="61"/>
      <c r="X83" s="63"/>
      <c r="Y83" s="61"/>
      <c r="Z83" s="60"/>
      <c r="AA83" s="61"/>
      <c r="AB83" s="61"/>
      <c r="AC83" s="61"/>
      <c r="AD83" s="61"/>
      <c r="AE83" s="61"/>
      <c r="AF83" s="61"/>
      <c r="AG83" s="65"/>
      <c r="AH83" s="68"/>
      <c r="AI83" s="65"/>
      <c r="AJ83" s="45"/>
      <c r="AK83" s="67"/>
      <c r="AL83" s="79"/>
      <c r="AM83" s="82"/>
      <c r="AN83" s="60"/>
      <c r="AO83" s="61"/>
      <c r="AP83" s="63"/>
      <c r="AQ83" s="63"/>
      <c r="AR83" s="60"/>
      <c r="AS83" s="63"/>
      <c r="AT83" s="63"/>
      <c r="AU83" s="63"/>
      <c r="AV83" s="63"/>
      <c r="AW83" s="63"/>
      <c r="AX83" s="63"/>
      <c r="AY83" s="45"/>
      <c r="AZ83" s="32"/>
    </row>
    <row r="84" s="18" customFormat="1" spans="1:52">
      <c r="A84" s="2"/>
      <c r="B84" s="4" t="s">
        <v>224</v>
      </c>
      <c r="C84" s="8" t="s">
        <v>225</v>
      </c>
      <c r="D84" s="9">
        <v>4873</v>
      </c>
      <c r="E84" s="9">
        <v>4831</v>
      </c>
      <c r="F84" s="9">
        <v>3231.8</v>
      </c>
      <c r="G84" s="9">
        <v>3271.2</v>
      </c>
      <c r="H84" s="9">
        <v>3236.08</v>
      </c>
      <c r="I84" s="9">
        <v>3794.87</v>
      </c>
      <c r="J84" s="9">
        <v>3299.4</v>
      </c>
      <c r="K84" s="9">
        <v>3856.18</v>
      </c>
      <c r="L84" s="9">
        <v>4036.85</v>
      </c>
      <c r="M84" s="9">
        <v>5227.7</v>
      </c>
      <c r="N84" s="9">
        <v>5851.2</v>
      </c>
      <c r="O84" s="15">
        <v>7006.02</v>
      </c>
      <c r="P84" s="48">
        <f t="shared" si="14"/>
        <v>30.9606451612904</v>
      </c>
      <c r="Q84" s="44"/>
      <c r="R84" s="45"/>
      <c r="S84" s="67"/>
      <c r="T84" s="58"/>
      <c r="U84" s="59"/>
      <c r="V84" s="60"/>
      <c r="W84" s="61"/>
      <c r="X84" s="63"/>
      <c r="Y84" s="61"/>
      <c r="Z84" s="60"/>
      <c r="AA84" s="61"/>
      <c r="AB84" s="61"/>
      <c r="AC84" s="61"/>
      <c r="AD84" s="61"/>
      <c r="AE84" s="61"/>
      <c r="AF84" s="61"/>
      <c r="AG84" s="65"/>
      <c r="AH84" s="68"/>
      <c r="AI84" s="65"/>
      <c r="AJ84" s="45"/>
      <c r="AK84" s="67"/>
      <c r="AL84" s="79"/>
      <c r="AM84" s="82"/>
      <c r="AN84" s="60"/>
      <c r="AO84" s="61"/>
      <c r="AP84" s="63"/>
      <c r="AQ84" s="63"/>
      <c r="AR84" s="60"/>
      <c r="AS84" s="63"/>
      <c r="AT84" s="63"/>
      <c r="AU84" s="63"/>
      <c r="AV84" s="63"/>
      <c r="AW84" s="63"/>
      <c r="AX84" s="63"/>
      <c r="AY84" s="45"/>
      <c r="AZ84" s="32"/>
    </row>
    <row r="85" s="18" customFormat="1" spans="1:52">
      <c r="A85" s="2"/>
      <c r="B85" s="4" t="s">
        <v>226</v>
      </c>
      <c r="C85" s="8" t="s">
        <v>227</v>
      </c>
      <c r="D85" s="9">
        <v>3601.7</v>
      </c>
      <c r="E85" s="9">
        <v>3581.47</v>
      </c>
      <c r="F85" s="9">
        <v>2696.6</v>
      </c>
      <c r="G85" s="9">
        <v>2278.6</v>
      </c>
      <c r="H85" s="9">
        <v>2741.7</v>
      </c>
      <c r="I85" s="9">
        <v>2293.2</v>
      </c>
      <c r="J85" s="9">
        <v>2520.72</v>
      </c>
      <c r="K85" s="9">
        <v>2493.85</v>
      </c>
      <c r="L85" s="9">
        <v>2994.6</v>
      </c>
      <c r="M85" s="9">
        <v>3253.9</v>
      </c>
      <c r="N85" s="9">
        <v>3626.05</v>
      </c>
      <c r="O85" s="15">
        <v>4412.6</v>
      </c>
      <c r="P85" s="48">
        <f t="shared" si="14"/>
        <v>21.4736021505376</v>
      </c>
      <c r="Q85" s="44"/>
      <c r="R85" s="45"/>
      <c r="S85" s="67"/>
      <c r="T85" s="58"/>
      <c r="U85" s="59"/>
      <c r="V85" s="60"/>
      <c r="W85" s="61"/>
      <c r="X85" s="63"/>
      <c r="Y85" s="61"/>
      <c r="Z85" s="60"/>
      <c r="AA85" s="61"/>
      <c r="AB85" s="61"/>
      <c r="AC85" s="61"/>
      <c r="AD85" s="61"/>
      <c r="AE85" s="61"/>
      <c r="AF85" s="61"/>
      <c r="AG85" s="65"/>
      <c r="AH85" s="68"/>
      <c r="AI85" s="65"/>
      <c r="AJ85" s="45"/>
      <c r="AK85" s="67"/>
      <c r="AL85" s="79"/>
      <c r="AM85" s="82"/>
      <c r="AN85" s="60"/>
      <c r="AO85" s="61"/>
      <c r="AP85" s="63"/>
      <c r="AQ85" s="63"/>
      <c r="AR85" s="60"/>
      <c r="AS85" s="63"/>
      <c r="AT85" s="63"/>
      <c r="AU85" s="63"/>
      <c r="AV85" s="63"/>
      <c r="AW85" s="63"/>
      <c r="AX85" s="63"/>
      <c r="AY85" s="45"/>
      <c r="AZ85" s="32"/>
    </row>
    <row r="86" s="18" customFormat="1" spans="1:52">
      <c r="A86" s="2"/>
      <c r="B86" s="4" t="s">
        <v>228</v>
      </c>
      <c r="C86" s="8" t="s">
        <v>229</v>
      </c>
      <c r="D86" s="9">
        <v>2387</v>
      </c>
      <c r="E86" s="9">
        <v>2466.36</v>
      </c>
      <c r="F86" s="9">
        <v>1686.06</v>
      </c>
      <c r="G86" s="9">
        <v>1241</v>
      </c>
      <c r="H86" s="9">
        <v>1407.65</v>
      </c>
      <c r="I86" s="9">
        <v>1552.54</v>
      </c>
      <c r="J86" s="9">
        <v>1657.4</v>
      </c>
      <c r="K86" s="9">
        <v>2021.15</v>
      </c>
      <c r="L86" s="9">
        <v>1870.8</v>
      </c>
      <c r="M86" s="9">
        <v>1869.16</v>
      </c>
      <c r="N86" s="9">
        <v>2189.05</v>
      </c>
      <c r="O86" s="15">
        <v>2950.65</v>
      </c>
      <c r="P86" s="48">
        <f t="shared" si="14"/>
        <v>22.2139247311828</v>
      </c>
      <c r="Q86" s="44"/>
      <c r="R86" s="45"/>
      <c r="S86" s="67"/>
      <c r="T86" s="58"/>
      <c r="U86" s="59"/>
      <c r="V86" s="60"/>
      <c r="W86" s="61"/>
      <c r="X86" s="63"/>
      <c r="Y86" s="61"/>
      <c r="Z86" s="60"/>
      <c r="AA86" s="61"/>
      <c r="AB86" s="61"/>
      <c r="AC86" s="61"/>
      <c r="AD86" s="61"/>
      <c r="AE86" s="61"/>
      <c r="AF86" s="61"/>
      <c r="AG86" s="65"/>
      <c r="AH86" s="68"/>
      <c r="AI86" s="65"/>
      <c r="AJ86" s="45"/>
      <c r="AK86" s="67"/>
      <c r="AL86" s="79"/>
      <c r="AM86" s="82"/>
      <c r="AN86" s="60"/>
      <c r="AO86" s="61"/>
      <c r="AP86" s="63"/>
      <c r="AQ86" s="63"/>
      <c r="AR86" s="60"/>
      <c r="AS86" s="63"/>
      <c r="AT86" s="63"/>
      <c r="AU86" s="63"/>
      <c r="AV86" s="63"/>
      <c r="AW86" s="63"/>
      <c r="AX86" s="63"/>
      <c r="AY86" s="45"/>
      <c r="AZ86" s="32"/>
    </row>
    <row r="87" s="18" customFormat="1" spans="1:52">
      <c r="A87" s="2"/>
      <c r="B87" s="4" t="s">
        <v>230</v>
      </c>
      <c r="C87" s="8" t="s">
        <v>231</v>
      </c>
      <c r="D87" s="9">
        <v>2684.33</v>
      </c>
      <c r="E87" s="9">
        <v>2172</v>
      </c>
      <c r="F87" s="9">
        <v>1854.7</v>
      </c>
      <c r="G87" s="9">
        <v>1807.26</v>
      </c>
      <c r="H87" s="9">
        <v>1802.02</v>
      </c>
      <c r="I87" s="9">
        <v>1883.27</v>
      </c>
      <c r="J87" s="9">
        <v>2120.01</v>
      </c>
      <c r="K87" s="9">
        <v>2528.55</v>
      </c>
      <c r="L87" s="9">
        <v>2504.02</v>
      </c>
      <c r="M87" s="9">
        <v>3064.84</v>
      </c>
      <c r="N87" s="9">
        <v>2553.77</v>
      </c>
      <c r="O87" s="15">
        <v>3880.63</v>
      </c>
      <c r="P87" s="48">
        <f t="shared" si="14"/>
        <v>40.0559462365592</v>
      </c>
      <c r="Q87" s="44"/>
      <c r="R87" s="45"/>
      <c r="S87" s="67"/>
      <c r="T87" s="58"/>
      <c r="U87" s="59"/>
      <c r="V87" s="60"/>
      <c r="W87" s="61"/>
      <c r="X87" s="63"/>
      <c r="Y87" s="61"/>
      <c r="Z87" s="60"/>
      <c r="AA87" s="61"/>
      <c r="AB87" s="61"/>
      <c r="AC87" s="61"/>
      <c r="AD87" s="61"/>
      <c r="AE87" s="61"/>
      <c r="AF87" s="61"/>
      <c r="AG87" s="65"/>
      <c r="AH87" s="68"/>
      <c r="AI87" s="65"/>
      <c r="AJ87" s="45"/>
      <c r="AK87" s="67"/>
      <c r="AL87" s="79"/>
      <c r="AM87" s="82"/>
      <c r="AN87" s="60"/>
      <c r="AO87" s="61"/>
      <c r="AP87" s="63"/>
      <c r="AQ87" s="63"/>
      <c r="AR87" s="60"/>
      <c r="AS87" s="63"/>
      <c r="AT87" s="63"/>
      <c r="AU87" s="63"/>
      <c r="AV87" s="63"/>
      <c r="AW87" s="63"/>
      <c r="AX87" s="63"/>
      <c r="AY87" s="45"/>
      <c r="AZ87" s="32"/>
    </row>
    <row r="88" s="18" customFormat="1" spans="1:52">
      <c r="A88" s="2"/>
      <c r="B88" s="4" t="s">
        <v>232</v>
      </c>
      <c r="C88" s="8" t="s">
        <v>233</v>
      </c>
      <c r="D88" s="9">
        <v>4436.93</v>
      </c>
      <c r="E88" s="9">
        <v>3719</v>
      </c>
      <c r="F88" s="9">
        <v>3972.6</v>
      </c>
      <c r="G88" s="9">
        <v>3748.28</v>
      </c>
      <c r="H88" s="9">
        <v>4554.28</v>
      </c>
      <c r="I88" s="9">
        <v>4007.71</v>
      </c>
      <c r="J88" s="9">
        <v>4087.63</v>
      </c>
      <c r="K88" s="9">
        <v>5051.28</v>
      </c>
      <c r="L88" s="9">
        <v>5478.84</v>
      </c>
      <c r="M88" s="9">
        <v>6265.9</v>
      </c>
      <c r="N88" s="9">
        <v>6294.99</v>
      </c>
      <c r="O88" s="15">
        <v>6840.97</v>
      </c>
      <c r="P88" s="48">
        <f t="shared" si="14"/>
        <v>10.8434516129032</v>
      </c>
      <c r="Q88" s="44"/>
      <c r="R88" s="45"/>
      <c r="S88" s="67"/>
      <c r="T88" s="58"/>
      <c r="U88" s="59"/>
      <c r="V88" s="60"/>
      <c r="W88" s="61"/>
      <c r="X88" s="63"/>
      <c r="Y88" s="61"/>
      <c r="Z88" s="60"/>
      <c r="AA88" s="61"/>
      <c r="AB88" s="61"/>
      <c r="AC88" s="61"/>
      <c r="AD88" s="61"/>
      <c r="AE88" s="61"/>
      <c r="AF88" s="61"/>
      <c r="AG88" s="65"/>
      <c r="AH88" s="68"/>
      <c r="AI88" s="65"/>
      <c r="AJ88" s="45"/>
      <c r="AK88" s="67"/>
      <c r="AL88" s="79"/>
      <c r="AM88" s="82"/>
      <c r="AN88" s="60"/>
      <c r="AO88" s="61"/>
      <c r="AP88" s="63"/>
      <c r="AQ88" s="63"/>
      <c r="AR88" s="60"/>
      <c r="AS88" s="63"/>
      <c r="AT88" s="63"/>
      <c r="AU88" s="63"/>
      <c r="AV88" s="63"/>
      <c r="AW88" s="63"/>
      <c r="AX88" s="63"/>
      <c r="AY88" s="45"/>
      <c r="AZ88" s="32"/>
    </row>
    <row r="89" s="18" customFormat="1" spans="1:52">
      <c r="A89" s="2"/>
      <c r="B89" s="4" t="s">
        <v>234</v>
      </c>
      <c r="C89" s="8" t="s">
        <v>235</v>
      </c>
      <c r="D89" s="9">
        <v>3314.56</v>
      </c>
      <c r="E89" s="9">
        <v>2669</v>
      </c>
      <c r="F89" s="9">
        <v>2974.97</v>
      </c>
      <c r="G89" s="9">
        <v>3155.8</v>
      </c>
      <c r="H89" s="9">
        <v>3850.64</v>
      </c>
      <c r="I89" s="9">
        <v>3810.24</v>
      </c>
      <c r="J89" s="9">
        <v>3987.48</v>
      </c>
      <c r="K89" s="9">
        <v>4163.65</v>
      </c>
      <c r="L89" s="9">
        <v>5043.19</v>
      </c>
      <c r="M89" s="9">
        <v>4816.94</v>
      </c>
      <c r="N89" s="9">
        <v>5283.91</v>
      </c>
      <c r="O89" s="9">
        <v>5668.37</v>
      </c>
      <c r="P89" s="43">
        <f t="shared" si="14"/>
        <v>6.72031182795698</v>
      </c>
      <c r="Q89" s="44"/>
      <c r="R89" s="45"/>
      <c r="S89" s="67"/>
      <c r="T89" s="58"/>
      <c r="U89" s="59"/>
      <c r="V89" s="60"/>
      <c r="W89" s="61"/>
      <c r="X89" s="63"/>
      <c r="Y89" s="61"/>
      <c r="Z89" s="60"/>
      <c r="AA89" s="61"/>
      <c r="AB89" s="61"/>
      <c r="AC89" s="61"/>
      <c r="AD89" s="61"/>
      <c r="AE89" s="61"/>
      <c r="AF89" s="61"/>
      <c r="AG89" s="65"/>
      <c r="AH89" s="68"/>
      <c r="AI89" s="65"/>
      <c r="AJ89" s="45"/>
      <c r="AK89" s="67"/>
      <c r="AL89" s="79"/>
      <c r="AM89" s="82"/>
      <c r="AN89" s="60"/>
      <c r="AO89" s="61"/>
      <c r="AP89" s="63"/>
      <c r="AQ89" s="63"/>
      <c r="AR89" s="60"/>
      <c r="AS89" s="63"/>
      <c r="AT89" s="63"/>
      <c r="AU89" s="63"/>
      <c r="AV89" s="63"/>
      <c r="AW89" s="63"/>
      <c r="AX89" s="63"/>
      <c r="AY89" s="45"/>
      <c r="AZ89" s="32"/>
    </row>
    <row r="90" s="18" customFormat="1" spans="1:52">
      <c r="A90" s="2"/>
      <c r="B90" s="4" t="s">
        <v>236</v>
      </c>
      <c r="C90" s="8" t="s">
        <v>237</v>
      </c>
      <c r="D90" s="9">
        <v>2127</v>
      </c>
      <c r="E90" s="9">
        <v>1636</v>
      </c>
      <c r="F90" s="9">
        <v>2146.6</v>
      </c>
      <c r="G90" s="9">
        <v>2218.29</v>
      </c>
      <c r="H90" s="9">
        <v>2247.95</v>
      </c>
      <c r="I90" s="9">
        <v>2452.65</v>
      </c>
      <c r="J90" s="9">
        <v>3305.85</v>
      </c>
      <c r="K90" s="9">
        <v>3187.4</v>
      </c>
      <c r="L90" s="9">
        <v>2559.45</v>
      </c>
      <c r="M90" s="9">
        <v>2437.55</v>
      </c>
      <c r="N90" s="9">
        <v>2632.68</v>
      </c>
      <c r="O90" s="9">
        <v>3199.91</v>
      </c>
      <c r="P90" s="43">
        <f t="shared" si="14"/>
        <v>15.4669032258064</v>
      </c>
      <c r="Q90" s="44"/>
      <c r="R90" s="45"/>
      <c r="S90" s="67"/>
      <c r="T90" s="58"/>
      <c r="U90" s="59"/>
      <c r="V90" s="60"/>
      <c r="W90" s="61"/>
      <c r="X90" s="63"/>
      <c r="Y90" s="61"/>
      <c r="Z90" s="60"/>
      <c r="AA90" s="61"/>
      <c r="AB90" s="61"/>
      <c r="AC90" s="61"/>
      <c r="AD90" s="61"/>
      <c r="AE90" s="61"/>
      <c r="AF90" s="61"/>
      <c r="AG90" s="65"/>
      <c r="AH90" s="68"/>
      <c r="AI90" s="65"/>
      <c r="AJ90" s="45"/>
      <c r="AK90" s="67"/>
      <c r="AL90" s="79"/>
      <c r="AM90" s="82"/>
      <c r="AN90" s="60"/>
      <c r="AO90" s="61"/>
      <c r="AP90" s="63"/>
      <c r="AQ90" s="63"/>
      <c r="AR90" s="60"/>
      <c r="AS90" s="63"/>
      <c r="AT90" s="63"/>
      <c r="AU90" s="63"/>
      <c r="AV90" s="63"/>
      <c r="AW90" s="63"/>
      <c r="AX90" s="63"/>
      <c r="AY90" s="45"/>
      <c r="AZ90" s="32"/>
    </row>
    <row r="91" s="18" customFormat="1" spans="1:52">
      <c r="A91" s="2"/>
      <c r="B91" s="4" t="s">
        <v>238</v>
      </c>
      <c r="C91" s="8" t="s">
        <v>239</v>
      </c>
      <c r="D91" s="9">
        <v>564</v>
      </c>
      <c r="E91" s="9">
        <v>348</v>
      </c>
      <c r="F91" s="9">
        <v>364</v>
      </c>
      <c r="G91" s="9">
        <v>606.5</v>
      </c>
      <c r="H91" s="9">
        <v>886.22</v>
      </c>
      <c r="I91" s="9">
        <v>966.12</v>
      </c>
      <c r="J91" s="9">
        <v>1417.76</v>
      </c>
      <c r="K91" s="9">
        <v>1210.1</v>
      </c>
      <c r="L91" s="9">
        <v>758.71</v>
      </c>
      <c r="M91" s="9">
        <v>379.28</v>
      </c>
      <c r="N91" s="9">
        <v>324.8</v>
      </c>
      <c r="O91" s="9">
        <v>299.86</v>
      </c>
      <c r="P91" s="43">
        <f t="shared" si="14"/>
        <v>-1.15376344086021</v>
      </c>
      <c r="Q91" s="44"/>
      <c r="R91" s="45"/>
      <c r="S91" s="67"/>
      <c r="T91" s="58"/>
      <c r="U91" s="59"/>
      <c r="V91" s="60"/>
      <c r="W91" s="61"/>
      <c r="X91" s="63"/>
      <c r="Y91" s="61"/>
      <c r="Z91" s="60"/>
      <c r="AA91" s="61"/>
      <c r="AB91" s="61"/>
      <c r="AC91" s="61"/>
      <c r="AD91" s="61"/>
      <c r="AE91" s="61"/>
      <c r="AF91" s="61"/>
      <c r="AG91" s="65"/>
      <c r="AH91" s="68"/>
      <c r="AI91" s="65"/>
      <c r="AJ91" s="45"/>
      <c r="AK91" s="67"/>
      <c r="AL91" s="79"/>
      <c r="AM91" s="82"/>
      <c r="AN91" s="60"/>
      <c r="AO91" s="61"/>
      <c r="AP91" s="63"/>
      <c r="AQ91" s="63"/>
      <c r="AR91" s="60"/>
      <c r="AS91" s="63"/>
      <c r="AT91" s="63"/>
      <c r="AU91" s="63"/>
      <c r="AV91" s="63"/>
      <c r="AW91" s="63"/>
      <c r="AX91" s="63"/>
      <c r="AY91" s="45"/>
      <c r="AZ91" s="32"/>
    </row>
    <row r="92" s="18" customFormat="1" spans="1:52">
      <c r="A92" s="2"/>
      <c r="B92" s="5" t="s">
        <v>240</v>
      </c>
      <c r="C92" s="8" t="s">
        <v>241</v>
      </c>
      <c r="D92" s="9"/>
      <c r="E92" s="9"/>
      <c r="F92" s="9">
        <v>6</v>
      </c>
      <c r="G92" s="9"/>
      <c r="H92" s="9"/>
      <c r="I92" s="9">
        <v>2.3</v>
      </c>
      <c r="J92" s="9">
        <v>41</v>
      </c>
      <c r="K92" s="9">
        <v>16</v>
      </c>
      <c r="L92" s="9">
        <v>4.31</v>
      </c>
      <c r="M92" s="10"/>
      <c r="N92" s="10"/>
      <c r="O92" s="10"/>
      <c r="P92" s="43">
        <f t="shared" si="14"/>
        <v>0</v>
      </c>
      <c r="Q92" s="54"/>
      <c r="R92" s="45"/>
      <c r="S92" s="67"/>
      <c r="T92" s="58"/>
      <c r="U92" s="59"/>
      <c r="V92" s="60"/>
      <c r="W92" s="61"/>
      <c r="X92" s="63"/>
      <c r="Y92" s="61"/>
      <c r="Z92" s="60"/>
      <c r="AA92" s="61"/>
      <c r="AB92" s="61"/>
      <c r="AC92" s="61"/>
      <c r="AD92" s="61"/>
      <c r="AE92" s="61"/>
      <c r="AF92" s="61"/>
      <c r="AG92" s="65"/>
      <c r="AH92" s="68"/>
      <c r="AI92" s="65"/>
      <c r="AJ92" s="45"/>
      <c r="AK92" s="67"/>
      <c r="AL92" s="89"/>
      <c r="AM92" s="82"/>
      <c r="AN92" s="60"/>
      <c r="AO92" s="61"/>
      <c r="AP92" s="63"/>
      <c r="AQ92" s="63"/>
      <c r="AR92" s="60"/>
      <c r="AS92" s="63"/>
      <c r="AT92" s="63"/>
      <c r="AU92" s="63"/>
      <c r="AV92" s="63"/>
      <c r="AW92" s="63"/>
      <c r="AX92" s="63"/>
      <c r="AY92" s="45"/>
      <c r="AZ92" s="32"/>
    </row>
    <row r="93" s="18" customFormat="1" spans="1:52">
      <c r="A93" s="2"/>
      <c r="B93" s="4" t="s">
        <v>242</v>
      </c>
      <c r="C93" s="8" t="s">
        <v>243</v>
      </c>
      <c r="D93" s="10"/>
      <c r="E93" s="10"/>
      <c r="F93" s="10"/>
      <c r="G93" s="10"/>
      <c r="H93" s="10"/>
      <c r="I93" s="10"/>
      <c r="J93" s="9"/>
      <c r="K93" s="9"/>
      <c r="L93" s="9">
        <v>19.27</v>
      </c>
      <c r="M93" s="10"/>
      <c r="N93" s="10"/>
      <c r="O93" s="10"/>
      <c r="P93" s="43">
        <f t="shared" si="14"/>
        <v>0</v>
      </c>
      <c r="Q93" s="54"/>
      <c r="R93" s="45"/>
      <c r="S93" s="67"/>
      <c r="T93" s="58"/>
      <c r="U93" s="59"/>
      <c r="V93" s="60"/>
      <c r="W93" s="61"/>
      <c r="X93" s="63"/>
      <c r="Y93" s="61"/>
      <c r="Z93" s="60"/>
      <c r="AA93" s="61"/>
      <c r="AB93" s="61"/>
      <c r="AC93" s="61"/>
      <c r="AD93" s="61"/>
      <c r="AE93" s="61"/>
      <c r="AF93" s="61"/>
      <c r="AG93" s="65"/>
      <c r="AH93" s="68"/>
      <c r="AI93" s="65"/>
      <c r="AJ93" s="45"/>
      <c r="AK93" s="67"/>
      <c r="AL93" s="79"/>
      <c r="AM93" s="82"/>
      <c r="AN93" s="60"/>
      <c r="AO93" s="61"/>
      <c r="AP93" s="63"/>
      <c r="AQ93" s="63"/>
      <c r="AR93" s="60"/>
      <c r="AS93" s="63"/>
      <c r="AT93" s="63"/>
      <c r="AU93" s="63"/>
      <c r="AV93" s="63"/>
      <c r="AW93" s="63"/>
      <c r="AX93" s="63"/>
      <c r="AY93" s="45"/>
      <c r="AZ93" s="32"/>
    </row>
    <row r="94" s="18" customFormat="1" spans="1:52">
      <c r="A94" s="2"/>
      <c r="B94" s="4" t="s">
        <v>244</v>
      </c>
      <c r="C94" s="8" t="s">
        <v>245</v>
      </c>
      <c r="D94" s="11"/>
      <c r="E94" s="13"/>
      <c r="F94" s="13"/>
      <c r="G94" s="13"/>
      <c r="H94" s="11"/>
      <c r="I94" s="14"/>
      <c r="J94" s="9"/>
      <c r="K94" s="9"/>
      <c r="L94" s="14"/>
      <c r="M94" s="14"/>
      <c r="N94" s="14"/>
      <c r="O94" s="16"/>
      <c r="P94" s="43">
        <f t="shared" si="14"/>
        <v>0</v>
      </c>
      <c r="Q94" s="56"/>
      <c r="R94" s="45"/>
      <c r="S94" s="67"/>
      <c r="T94" s="58"/>
      <c r="U94" s="59"/>
      <c r="V94" s="60"/>
      <c r="W94" s="61"/>
      <c r="X94" s="63"/>
      <c r="Y94" s="61"/>
      <c r="Z94" s="60"/>
      <c r="AA94" s="61"/>
      <c r="AB94" s="61"/>
      <c r="AC94" s="61"/>
      <c r="AD94" s="61"/>
      <c r="AE94" s="61"/>
      <c r="AF94" s="61"/>
      <c r="AG94" s="65"/>
      <c r="AH94" s="68"/>
      <c r="AI94" s="65"/>
      <c r="AJ94" s="45"/>
      <c r="AK94" s="67"/>
      <c r="AL94" s="79"/>
      <c r="AM94" s="82"/>
      <c r="AN94" s="60"/>
      <c r="AO94" s="61"/>
      <c r="AP94" s="63"/>
      <c r="AQ94" s="63"/>
      <c r="AR94" s="60"/>
      <c r="AS94" s="63"/>
      <c r="AT94" s="63"/>
      <c r="AU94" s="63"/>
      <c r="AV94" s="63"/>
      <c r="AW94" s="63"/>
      <c r="AX94" s="63"/>
      <c r="AY94" s="45"/>
      <c r="AZ94" s="32"/>
    </row>
    <row r="95" s="18" customFormat="1" spans="1:52">
      <c r="A95" s="2"/>
      <c r="B95" s="6" t="s">
        <v>246</v>
      </c>
      <c r="C95" s="8"/>
      <c r="D95" s="12">
        <f t="shared" ref="D95:O95" si="15">SUM(D75:D94)</f>
        <v>81907.68</v>
      </c>
      <c r="E95" s="12">
        <f t="shared" si="15"/>
        <v>74101.59</v>
      </c>
      <c r="F95" s="12">
        <f t="shared" si="15"/>
        <v>71806.2</v>
      </c>
      <c r="G95" s="12">
        <f t="shared" si="15"/>
        <v>69853.38</v>
      </c>
      <c r="H95" s="12">
        <f t="shared" si="15"/>
        <v>80565.41</v>
      </c>
      <c r="I95" s="12">
        <f t="shared" si="15"/>
        <v>75347.44</v>
      </c>
      <c r="J95" s="12">
        <f t="shared" si="15"/>
        <v>84769.78</v>
      </c>
      <c r="K95" s="12">
        <f t="shared" si="15"/>
        <v>87358.71</v>
      </c>
      <c r="L95" s="12">
        <f t="shared" si="15"/>
        <v>88786.63</v>
      </c>
      <c r="M95" s="12">
        <f t="shared" si="15"/>
        <v>101017.03</v>
      </c>
      <c r="N95" s="12">
        <f t="shared" si="15"/>
        <v>101015.55</v>
      </c>
      <c r="O95" s="12">
        <f t="shared" si="15"/>
        <v>120447.8</v>
      </c>
      <c r="P95" s="43">
        <f t="shared" si="14"/>
        <v>518.227903225806</v>
      </c>
      <c r="Q95" s="56"/>
      <c r="R95" s="45"/>
      <c r="S95" s="67"/>
      <c r="T95" s="58"/>
      <c r="U95" s="59"/>
      <c r="V95" s="60"/>
      <c r="W95" s="61"/>
      <c r="X95" s="63"/>
      <c r="Y95" s="61"/>
      <c r="Z95" s="60"/>
      <c r="AA95" s="61"/>
      <c r="AB95" s="61"/>
      <c r="AC95" s="61"/>
      <c r="AD95" s="61"/>
      <c r="AE95" s="61"/>
      <c r="AF95" s="61"/>
      <c r="AG95" s="65"/>
      <c r="AH95" s="68"/>
      <c r="AI95" s="65"/>
      <c r="AJ95" s="45"/>
      <c r="AK95" s="67"/>
      <c r="AL95" s="79"/>
      <c r="AM95" s="82"/>
      <c r="AN95" s="60"/>
      <c r="AO95" s="61"/>
      <c r="AP95" s="63"/>
      <c r="AQ95" s="63"/>
      <c r="AR95" s="60"/>
      <c r="AS95" s="63"/>
      <c r="AT95" s="63"/>
      <c r="AU95" s="63"/>
      <c r="AV95" s="63"/>
      <c r="AW95" s="63"/>
      <c r="AX95" s="63"/>
      <c r="AY95" s="45"/>
      <c r="AZ95" s="32"/>
    </row>
    <row r="96" s="18" customFormat="1" spans="1:52">
      <c r="A96" s="57"/>
      <c r="B96" s="58"/>
      <c r="C96" s="59"/>
      <c r="D96" s="60"/>
      <c r="E96" s="61"/>
      <c r="F96" s="62"/>
      <c r="G96" s="63"/>
      <c r="H96" s="60"/>
      <c r="I96" s="61"/>
      <c r="J96" s="61"/>
      <c r="K96" s="61"/>
      <c r="L96" s="61"/>
      <c r="M96" s="61"/>
      <c r="N96" s="61"/>
      <c r="O96" s="65"/>
      <c r="P96" s="66"/>
      <c r="Q96" s="65"/>
      <c r="R96" s="45"/>
      <c r="S96" s="67"/>
      <c r="T96" s="58"/>
      <c r="U96" s="59"/>
      <c r="V96" s="60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45"/>
      <c r="AH96" s="85"/>
      <c r="AI96" s="45"/>
      <c r="AJ96" s="45"/>
      <c r="AK96" s="67"/>
      <c r="AL96" s="79"/>
      <c r="AM96" s="82"/>
      <c r="AN96" s="60"/>
      <c r="AO96" s="61"/>
      <c r="AP96" s="61"/>
      <c r="AQ96" s="61"/>
      <c r="AR96" s="61"/>
      <c r="AS96" s="61"/>
      <c r="AT96" s="63"/>
      <c r="AU96" s="63"/>
      <c r="AV96" s="63"/>
      <c r="AW96" s="63"/>
      <c r="AX96" s="63"/>
      <c r="AY96" s="45"/>
      <c r="AZ96" s="32"/>
    </row>
    <row r="97" s="18" customFormat="1" spans="1:52">
      <c r="A97" s="57"/>
      <c r="B97" s="58"/>
      <c r="C97" s="59"/>
      <c r="D97" s="60"/>
      <c r="E97" s="61"/>
      <c r="F97" s="62"/>
      <c r="G97" s="63"/>
      <c r="H97" s="60"/>
      <c r="I97" s="61"/>
      <c r="J97" s="61"/>
      <c r="K97" s="61"/>
      <c r="L97" s="61"/>
      <c r="M97" s="61"/>
      <c r="N97" s="61"/>
      <c r="O97" s="65"/>
      <c r="P97" s="66"/>
      <c r="Q97" s="65"/>
      <c r="R97" s="45"/>
      <c r="S97" s="67"/>
      <c r="T97" s="71"/>
      <c r="U97" s="59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86"/>
      <c r="AI97" s="72"/>
      <c r="AJ97" s="45"/>
      <c r="AK97" s="67"/>
      <c r="AL97" s="87"/>
      <c r="AM97" s="8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32"/>
    </row>
    <row r="98" s="18" customFormat="1" spans="1:52">
      <c r="A98" s="57"/>
      <c r="B98" s="58"/>
      <c r="C98" s="59"/>
      <c r="D98" s="60"/>
      <c r="E98" s="61"/>
      <c r="F98" s="62"/>
      <c r="G98" s="63"/>
      <c r="H98" s="60"/>
      <c r="I98" s="61"/>
      <c r="J98" s="61"/>
      <c r="K98" s="61"/>
      <c r="L98" s="61"/>
      <c r="M98" s="61"/>
      <c r="N98" s="61"/>
      <c r="O98" s="65"/>
      <c r="P98" s="66"/>
      <c r="Q98" s="65"/>
      <c r="R98" s="45"/>
      <c r="S98" s="67"/>
      <c r="T98" s="58"/>
      <c r="U98" s="59"/>
      <c r="V98" s="60"/>
      <c r="W98" s="61"/>
      <c r="X98" s="61"/>
      <c r="Y98" s="63"/>
      <c r="Z98" s="60"/>
      <c r="AA98" s="61"/>
      <c r="AB98" s="61"/>
      <c r="AC98" s="61"/>
      <c r="AD98" s="61"/>
      <c r="AE98" s="61"/>
      <c r="AF98" s="61"/>
      <c r="AG98" s="65"/>
      <c r="AH98" s="68"/>
      <c r="AI98" s="65"/>
      <c r="AJ98" s="45"/>
      <c r="AK98" s="67"/>
      <c r="AL98" s="79"/>
      <c r="AM98" s="82"/>
      <c r="AN98" s="60"/>
      <c r="AO98" s="63"/>
      <c r="AP98" s="63"/>
      <c r="AQ98" s="63"/>
      <c r="AR98" s="60"/>
      <c r="AS98" s="63"/>
      <c r="AT98" s="63"/>
      <c r="AU98" s="63"/>
      <c r="AV98" s="63"/>
      <c r="AW98" s="63"/>
      <c r="AX98" s="63"/>
      <c r="AY98" s="45"/>
      <c r="AZ98" s="32"/>
    </row>
    <row r="99" s="18" customFormat="1" spans="1:52">
      <c r="A99" s="57"/>
      <c r="B99" s="58"/>
      <c r="C99" s="59"/>
      <c r="D99" s="60"/>
      <c r="E99" s="61"/>
      <c r="F99" s="62"/>
      <c r="G99" s="63"/>
      <c r="H99" s="60"/>
      <c r="I99" s="61"/>
      <c r="J99" s="61"/>
      <c r="K99" s="61"/>
      <c r="L99" s="61"/>
      <c r="M99" s="61"/>
      <c r="N99" s="61"/>
      <c r="O99" s="65"/>
      <c r="P99" s="66"/>
      <c r="Q99" s="65"/>
      <c r="R99" s="45"/>
      <c r="S99" s="67"/>
      <c r="T99" s="58"/>
      <c r="U99" s="59"/>
      <c r="V99" s="60"/>
      <c r="W99" s="61"/>
      <c r="X99" s="63"/>
      <c r="Y99" s="61"/>
      <c r="Z99" s="60"/>
      <c r="AA99" s="61"/>
      <c r="AB99" s="61"/>
      <c r="AC99" s="61"/>
      <c r="AD99" s="61"/>
      <c r="AE99" s="61"/>
      <c r="AF99" s="61"/>
      <c r="AG99" s="65"/>
      <c r="AH99" s="68"/>
      <c r="AI99" s="65"/>
      <c r="AJ99" s="45"/>
      <c r="AK99" s="67"/>
      <c r="AL99" s="79"/>
      <c r="AM99" s="82"/>
      <c r="AN99" s="60"/>
      <c r="AO99" s="63"/>
      <c r="AP99" s="63"/>
      <c r="AQ99" s="63"/>
      <c r="AR99" s="60"/>
      <c r="AS99" s="63"/>
      <c r="AT99" s="63"/>
      <c r="AU99" s="63"/>
      <c r="AV99" s="63"/>
      <c r="AW99" s="63"/>
      <c r="AX99" s="63"/>
      <c r="AY99" s="45"/>
      <c r="AZ99" s="32"/>
    </row>
    <row r="100" s="18" customFormat="1" spans="1:52">
      <c r="A100" s="57"/>
      <c r="B100" s="58"/>
      <c r="C100" s="59"/>
      <c r="D100" s="60"/>
      <c r="E100" s="61"/>
      <c r="F100" s="62"/>
      <c r="G100" s="63"/>
      <c r="H100" s="60"/>
      <c r="I100" s="61"/>
      <c r="J100" s="61"/>
      <c r="K100" s="61"/>
      <c r="L100" s="61"/>
      <c r="M100" s="61"/>
      <c r="N100" s="61"/>
      <c r="O100" s="65"/>
      <c r="P100" s="66"/>
      <c r="Q100" s="65"/>
      <c r="R100" s="45"/>
      <c r="S100" s="67"/>
      <c r="T100" s="58"/>
      <c r="U100" s="59"/>
      <c r="V100" s="60"/>
      <c r="W100" s="61"/>
      <c r="X100" s="63"/>
      <c r="Y100" s="61"/>
      <c r="Z100" s="60"/>
      <c r="AA100" s="61"/>
      <c r="AB100" s="61"/>
      <c r="AC100" s="61"/>
      <c r="AD100" s="61"/>
      <c r="AE100" s="61"/>
      <c r="AF100" s="61"/>
      <c r="AG100" s="65"/>
      <c r="AH100" s="68"/>
      <c r="AI100" s="65"/>
      <c r="AJ100" s="45"/>
      <c r="AK100" s="67"/>
      <c r="AL100" s="79"/>
      <c r="AM100" s="82"/>
      <c r="AN100" s="60"/>
      <c r="AO100" s="63"/>
      <c r="AP100" s="63"/>
      <c r="AQ100" s="63"/>
      <c r="AR100" s="60"/>
      <c r="AS100" s="63"/>
      <c r="AT100" s="63"/>
      <c r="AU100" s="63"/>
      <c r="AV100" s="63"/>
      <c r="AW100" s="63"/>
      <c r="AX100" s="63"/>
      <c r="AY100" s="45"/>
      <c r="AZ100" s="32"/>
    </row>
    <row r="101" s="18" customFormat="1" ht="21.15" spans="1:52">
      <c r="A101" s="57"/>
      <c r="B101" s="58"/>
      <c r="C101" s="59"/>
      <c r="D101" s="60"/>
      <c r="E101" s="61"/>
      <c r="F101" s="62"/>
      <c r="G101" s="63"/>
      <c r="H101" s="60"/>
      <c r="I101" s="61"/>
      <c r="J101" s="61"/>
      <c r="K101" s="61"/>
      <c r="L101" s="61"/>
      <c r="M101" s="61"/>
      <c r="N101" s="61"/>
      <c r="O101" s="65"/>
      <c r="P101" s="90"/>
      <c r="Q101" s="91"/>
      <c r="R101" s="92"/>
      <c r="S101" s="67"/>
      <c r="T101" s="58"/>
      <c r="U101" s="59"/>
      <c r="V101" s="60"/>
      <c r="W101" s="61"/>
      <c r="X101" s="63"/>
      <c r="Y101" s="61"/>
      <c r="Z101" s="60"/>
      <c r="AA101" s="61"/>
      <c r="AB101" s="61"/>
      <c r="AC101" s="61"/>
      <c r="AD101" s="61"/>
      <c r="AE101" s="61"/>
      <c r="AF101" s="61"/>
      <c r="AG101" s="65"/>
      <c r="AH101" s="68"/>
      <c r="AI101" s="65"/>
      <c r="AJ101" s="45"/>
      <c r="AK101" s="67"/>
      <c r="AL101" s="79"/>
      <c r="AM101" s="82"/>
      <c r="AN101" s="60"/>
      <c r="AO101" s="63"/>
      <c r="AP101" s="63"/>
      <c r="AQ101" s="63"/>
      <c r="AR101" s="60"/>
      <c r="AS101" s="63"/>
      <c r="AT101" s="63"/>
      <c r="AU101" s="63"/>
      <c r="AV101" s="63"/>
      <c r="AW101" s="63"/>
      <c r="AX101" s="63"/>
      <c r="AY101" s="45"/>
      <c r="AZ101" s="32"/>
    </row>
    <row r="102" s="18" customFormat="1" ht="21.15" spans="1:52">
      <c r="A102" s="57"/>
      <c r="B102" s="58"/>
      <c r="C102" s="59"/>
      <c r="D102" s="60"/>
      <c r="E102" s="61"/>
      <c r="F102" s="62"/>
      <c r="G102" s="63"/>
      <c r="H102" s="60"/>
      <c r="I102" s="61"/>
      <c r="J102" s="61"/>
      <c r="K102" s="61"/>
      <c r="L102" s="61"/>
      <c r="M102" s="61"/>
      <c r="N102" s="61"/>
      <c r="O102" s="65"/>
      <c r="P102" s="90"/>
      <c r="Q102" s="91"/>
      <c r="R102" s="93"/>
      <c r="S102" s="67"/>
      <c r="T102" s="58"/>
      <c r="U102" s="59"/>
      <c r="V102" s="60"/>
      <c r="W102" s="61"/>
      <c r="X102" s="63"/>
      <c r="Y102" s="61"/>
      <c r="Z102" s="60"/>
      <c r="AA102" s="61"/>
      <c r="AB102" s="61"/>
      <c r="AC102" s="61"/>
      <c r="AD102" s="61"/>
      <c r="AE102" s="61"/>
      <c r="AF102" s="61"/>
      <c r="AG102" s="65"/>
      <c r="AH102" s="68"/>
      <c r="AI102" s="65"/>
      <c r="AJ102" s="45"/>
      <c r="AK102" s="67"/>
      <c r="AL102" s="79"/>
      <c r="AM102" s="82"/>
      <c r="AN102" s="60"/>
      <c r="AO102" s="63"/>
      <c r="AP102" s="63"/>
      <c r="AQ102" s="63"/>
      <c r="AR102" s="60"/>
      <c r="AS102" s="63"/>
      <c r="AT102" s="63"/>
      <c r="AU102" s="63"/>
      <c r="AV102" s="63"/>
      <c r="AW102" s="63"/>
      <c r="AX102" s="63"/>
      <c r="AY102" s="45"/>
      <c r="AZ102" s="32"/>
    </row>
    <row r="103" s="18" customFormat="1" ht="21.15" spans="1:52">
      <c r="A103" s="57"/>
      <c r="B103" s="58"/>
      <c r="C103" s="59"/>
      <c r="D103" s="60"/>
      <c r="E103" s="61"/>
      <c r="F103" s="62"/>
      <c r="G103" s="63"/>
      <c r="H103" s="60"/>
      <c r="I103" s="61"/>
      <c r="J103" s="61"/>
      <c r="K103" s="61"/>
      <c r="L103" s="61"/>
      <c r="M103" s="61"/>
      <c r="N103" s="61"/>
      <c r="O103" s="65"/>
      <c r="P103" s="90"/>
      <c r="Q103" s="91"/>
      <c r="R103" s="92"/>
      <c r="S103" s="67"/>
      <c r="T103" s="58"/>
      <c r="U103" s="59"/>
      <c r="V103" s="60"/>
      <c r="W103" s="61"/>
      <c r="X103" s="63"/>
      <c r="Y103" s="61"/>
      <c r="Z103" s="60"/>
      <c r="AA103" s="61"/>
      <c r="AB103" s="61"/>
      <c r="AC103" s="61"/>
      <c r="AD103" s="61"/>
      <c r="AE103" s="61"/>
      <c r="AF103" s="61"/>
      <c r="AG103" s="65"/>
      <c r="AH103" s="68"/>
      <c r="AI103" s="65"/>
      <c r="AJ103" s="45"/>
      <c r="AK103" s="67"/>
      <c r="AL103" s="79"/>
      <c r="AM103" s="82"/>
      <c r="AN103" s="60"/>
      <c r="AO103" s="63"/>
      <c r="AP103" s="63"/>
      <c r="AQ103" s="63"/>
      <c r="AR103" s="60"/>
      <c r="AS103" s="63"/>
      <c r="AT103" s="63"/>
      <c r="AU103" s="63"/>
      <c r="AV103" s="63"/>
      <c r="AW103" s="63"/>
      <c r="AX103" s="63"/>
      <c r="AY103" s="45"/>
      <c r="AZ103" s="32"/>
    </row>
    <row r="104" s="18" customFormat="1" ht="21.15" spans="1:52">
      <c r="A104" s="57"/>
      <c r="B104" s="58"/>
      <c r="C104" s="59"/>
      <c r="D104" s="60"/>
      <c r="E104" s="61"/>
      <c r="F104" s="62"/>
      <c r="G104" s="63"/>
      <c r="H104" s="60"/>
      <c r="I104" s="61"/>
      <c r="J104" s="61"/>
      <c r="K104" s="61"/>
      <c r="L104" s="61"/>
      <c r="M104" s="61"/>
      <c r="N104" s="61"/>
      <c r="O104" s="65"/>
      <c r="P104" s="90"/>
      <c r="Q104" s="91"/>
      <c r="R104" s="93"/>
      <c r="S104" s="67"/>
      <c r="T104" s="58"/>
      <c r="U104" s="59"/>
      <c r="V104" s="60"/>
      <c r="W104" s="61"/>
      <c r="X104" s="63"/>
      <c r="Y104" s="61"/>
      <c r="Z104" s="60"/>
      <c r="AA104" s="61"/>
      <c r="AB104" s="61"/>
      <c r="AC104" s="61"/>
      <c r="AD104" s="61"/>
      <c r="AE104" s="61"/>
      <c r="AF104" s="61"/>
      <c r="AG104" s="65"/>
      <c r="AH104" s="68"/>
      <c r="AI104" s="65"/>
      <c r="AJ104" s="45"/>
      <c r="AK104" s="67"/>
      <c r="AL104" s="79"/>
      <c r="AM104" s="82"/>
      <c r="AN104" s="60"/>
      <c r="AO104" s="63"/>
      <c r="AP104" s="63"/>
      <c r="AQ104" s="63"/>
      <c r="AR104" s="60"/>
      <c r="AS104" s="63"/>
      <c r="AT104" s="63"/>
      <c r="AU104" s="63"/>
      <c r="AV104" s="63"/>
      <c r="AW104" s="63"/>
      <c r="AX104" s="63"/>
      <c r="AY104" s="45"/>
      <c r="AZ104" s="32"/>
    </row>
    <row r="105" s="18" customFormat="1" ht="21.15" spans="1:52">
      <c r="A105" s="57"/>
      <c r="B105" s="58"/>
      <c r="C105" s="59"/>
      <c r="D105" s="60"/>
      <c r="E105" s="61"/>
      <c r="F105" s="62"/>
      <c r="G105" s="63"/>
      <c r="H105" s="60"/>
      <c r="I105" s="61"/>
      <c r="J105" s="61"/>
      <c r="K105" s="61"/>
      <c r="L105" s="61"/>
      <c r="M105" s="61"/>
      <c r="N105" s="61"/>
      <c r="O105" s="65"/>
      <c r="P105" s="90"/>
      <c r="Q105" s="91"/>
      <c r="R105" s="92"/>
      <c r="S105" s="67"/>
      <c r="T105" s="58"/>
      <c r="U105" s="59"/>
      <c r="V105" s="60"/>
      <c r="W105" s="61"/>
      <c r="X105" s="63"/>
      <c r="Y105" s="61"/>
      <c r="Z105" s="60"/>
      <c r="AA105" s="61"/>
      <c r="AB105" s="61"/>
      <c r="AC105" s="61"/>
      <c r="AD105" s="61"/>
      <c r="AE105" s="61"/>
      <c r="AF105" s="61"/>
      <c r="AG105" s="65"/>
      <c r="AH105" s="68"/>
      <c r="AI105" s="65"/>
      <c r="AJ105" s="45"/>
      <c r="AK105" s="67"/>
      <c r="AL105" s="79"/>
      <c r="AM105" s="82"/>
      <c r="AN105" s="60"/>
      <c r="AO105" s="63"/>
      <c r="AP105" s="63"/>
      <c r="AQ105" s="63"/>
      <c r="AR105" s="60"/>
      <c r="AS105" s="63"/>
      <c r="AT105" s="63"/>
      <c r="AU105" s="63"/>
      <c r="AV105" s="63"/>
      <c r="AW105" s="63"/>
      <c r="AX105" s="63"/>
      <c r="AY105" s="45"/>
      <c r="AZ105" s="32"/>
    </row>
    <row r="106" s="18" customFormat="1" ht="21.15" spans="1:52">
      <c r="A106" s="57"/>
      <c r="B106" s="58"/>
      <c r="C106" s="59"/>
      <c r="D106" s="60"/>
      <c r="E106" s="61"/>
      <c r="F106" s="62"/>
      <c r="G106" s="63"/>
      <c r="H106" s="60"/>
      <c r="I106" s="61"/>
      <c r="J106" s="61"/>
      <c r="K106" s="61"/>
      <c r="L106" s="61"/>
      <c r="M106" s="61"/>
      <c r="N106" s="61"/>
      <c r="O106" s="65"/>
      <c r="P106" s="90"/>
      <c r="Q106" s="91"/>
      <c r="R106" s="93"/>
      <c r="S106" s="67"/>
      <c r="T106" s="58"/>
      <c r="U106" s="59"/>
      <c r="V106" s="60"/>
      <c r="W106" s="61"/>
      <c r="X106" s="63"/>
      <c r="Y106" s="61"/>
      <c r="Z106" s="60"/>
      <c r="AA106" s="61"/>
      <c r="AB106" s="61"/>
      <c r="AC106" s="61"/>
      <c r="AD106" s="61"/>
      <c r="AE106" s="61"/>
      <c r="AF106" s="61"/>
      <c r="AG106" s="65"/>
      <c r="AH106" s="68"/>
      <c r="AI106" s="65"/>
      <c r="AJ106" s="45"/>
      <c r="AK106" s="67"/>
      <c r="AL106" s="79"/>
      <c r="AM106" s="82"/>
      <c r="AN106" s="60"/>
      <c r="AO106" s="63"/>
      <c r="AP106" s="63"/>
      <c r="AQ106" s="63"/>
      <c r="AR106" s="60"/>
      <c r="AS106" s="63"/>
      <c r="AT106" s="63"/>
      <c r="AU106" s="63"/>
      <c r="AV106" s="63"/>
      <c r="AW106" s="63"/>
      <c r="AX106" s="63"/>
      <c r="AY106" s="45"/>
      <c r="AZ106" s="32"/>
    </row>
    <row r="107" s="18" customFormat="1" ht="21.15" spans="1:52">
      <c r="A107" s="57"/>
      <c r="B107" s="58"/>
      <c r="C107" s="59"/>
      <c r="D107" s="60"/>
      <c r="E107" s="61"/>
      <c r="F107" s="62"/>
      <c r="G107" s="63"/>
      <c r="H107" s="60"/>
      <c r="I107" s="61"/>
      <c r="J107" s="61"/>
      <c r="K107" s="61"/>
      <c r="L107" s="61"/>
      <c r="M107" s="61"/>
      <c r="N107" s="61"/>
      <c r="O107" s="45"/>
      <c r="P107" s="94"/>
      <c r="Q107" s="95"/>
      <c r="R107" s="92"/>
      <c r="S107" s="67"/>
      <c r="T107" s="58"/>
      <c r="U107" s="59"/>
      <c r="V107" s="60"/>
      <c r="W107" s="61"/>
      <c r="X107" s="63"/>
      <c r="Y107" s="61"/>
      <c r="Z107" s="60"/>
      <c r="AA107" s="61"/>
      <c r="AB107" s="61"/>
      <c r="AC107" s="61"/>
      <c r="AD107" s="61"/>
      <c r="AE107" s="61"/>
      <c r="AF107" s="61"/>
      <c r="AG107" s="65"/>
      <c r="AH107" s="68"/>
      <c r="AI107" s="65"/>
      <c r="AJ107" s="45"/>
      <c r="AK107" s="67"/>
      <c r="AL107" s="79"/>
      <c r="AM107" s="82"/>
      <c r="AN107" s="60"/>
      <c r="AO107" s="63"/>
      <c r="AP107" s="63"/>
      <c r="AQ107" s="63"/>
      <c r="AR107" s="60"/>
      <c r="AS107" s="63"/>
      <c r="AT107" s="63"/>
      <c r="AU107" s="63"/>
      <c r="AV107" s="63"/>
      <c r="AW107" s="63"/>
      <c r="AX107" s="63"/>
      <c r="AY107" s="45"/>
      <c r="AZ107" s="32"/>
    </row>
    <row r="108" s="18" customFormat="1" ht="21.15" spans="1:52">
      <c r="A108" s="57"/>
      <c r="B108" s="58"/>
      <c r="C108" s="59"/>
      <c r="D108" s="60"/>
      <c r="E108" s="61"/>
      <c r="F108" s="61"/>
      <c r="G108" s="63"/>
      <c r="H108" s="61"/>
      <c r="I108" s="61"/>
      <c r="J108" s="61"/>
      <c r="K108" s="61"/>
      <c r="L108" s="61"/>
      <c r="M108" s="61"/>
      <c r="N108" s="61"/>
      <c r="O108" s="45"/>
      <c r="P108" s="94"/>
      <c r="Q108" s="95"/>
      <c r="R108" s="93"/>
      <c r="S108" s="67"/>
      <c r="T108" s="58"/>
      <c r="U108" s="59"/>
      <c r="V108" s="60"/>
      <c r="W108" s="61"/>
      <c r="X108" s="63"/>
      <c r="Y108" s="61"/>
      <c r="Z108" s="60"/>
      <c r="AA108" s="61"/>
      <c r="AB108" s="61"/>
      <c r="AC108" s="61"/>
      <c r="AD108" s="61"/>
      <c r="AE108" s="61"/>
      <c r="AF108" s="61"/>
      <c r="AG108" s="65"/>
      <c r="AH108" s="68"/>
      <c r="AI108" s="65"/>
      <c r="AJ108" s="45"/>
      <c r="AK108" s="67"/>
      <c r="AL108" s="79"/>
      <c r="AM108" s="82"/>
      <c r="AN108" s="60"/>
      <c r="AO108" s="63"/>
      <c r="AP108" s="63"/>
      <c r="AQ108" s="63"/>
      <c r="AR108" s="60"/>
      <c r="AS108" s="63"/>
      <c r="AT108" s="63"/>
      <c r="AU108" s="63"/>
      <c r="AV108" s="63"/>
      <c r="AW108" s="63"/>
      <c r="AX108" s="63"/>
      <c r="AY108" s="45"/>
      <c r="AZ108" s="32"/>
    </row>
    <row r="109" s="18" customFormat="1" ht="21.15" spans="1:52">
      <c r="A109" s="57"/>
      <c r="B109" s="71"/>
      <c r="C109" s="59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96"/>
      <c r="Q109" s="97"/>
      <c r="R109" s="92"/>
      <c r="S109" s="67"/>
      <c r="T109" s="58"/>
      <c r="U109" s="59"/>
      <c r="V109" s="60"/>
      <c r="W109" s="61"/>
      <c r="X109" s="63"/>
      <c r="Y109" s="61"/>
      <c r="Z109" s="60"/>
      <c r="AA109" s="61"/>
      <c r="AB109" s="61"/>
      <c r="AC109" s="61"/>
      <c r="AD109" s="61"/>
      <c r="AE109" s="61"/>
      <c r="AF109" s="61"/>
      <c r="AG109" s="65"/>
      <c r="AH109" s="68"/>
      <c r="AI109" s="65"/>
      <c r="AJ109" s="45"/>
      <c r="AK109" s="67"/>
      <c r="AL109" s="79"/>
      <c r="AM109" s="82"/>
      <c r="AN109" s="60"/>
      <c r="AO109" s="63"/>
      <c r="AP109" s="63"/>
      <c r="AQ109" s="63"/>
      <c r="AR109" s="60"/>
      <c r="AS109" s="63"/>
      <c r="AT109" s="63"/>
      <c r="AU109" s="63"/>
      <c r="AV109" s="63"/>
      <c r="AW109" s="63"/>
      <c r="AX109" s="63"/>
      <c r="AY109" s="45"/>
      <c r="AZ109" s="32"/>
    </row>
    <row r="110" s="18" customFormat="1" ht="21.15" spans="1:52">
      <c r="A110" s="67"/>
      <c r="B110" s="58"/>
      <c r="C110" s="59"/>
      <c r="D110" s="60"/>
      <c r="E110" s="98"/>
      <c r="F110" s="61"/>
      <c r="G110" s="61"/>
      <c r="H110" s="60"/>
      <c r="I110" s="61"/>
      <c r="J110" s="61"/>
      <c r="K110" s="61"/>
      <c r="L110" s="61"/>
      <c r="M110" s="61"/>
      <c r="N110" s="61"/>
      <c r="O110" s="65"/>
      <c r="P110" s="90"/>
      <c r="Q110" s="91"/>
      <c r="R110" s="93"/>
      <c r="S110" s="67"/>
      <c r="T110" s="58"/>
      <c r="U110" s="59"/>
      <c r="V110" s="60"/>
      <c r="W110" s="61"/>
      <c r="X110" s="63"/>
      <c r="Y110" s="61"/>
      <c r="Z110" s="60"/>
      <c r="AA110" s="61"/>
      <c r="AB110" s="61"/>
      <c r="AC110" s="61"/>
      <c r="AD110" s="61"/>
      <c r="AE110" s="61"/>
      <c r="AF110" s="61"/>
      <c r="AG110" s="65"/>
      <c r="AH110" s="68"/>
      <c r="AI110" s="65"/>
      <c r="AJ110" s="45"/>
      <c r="AK110" s="67"/>
      <c r="AL110" s="89"/>
      <c r="AM110" s="82"/>
      <c r="AN110" s="60"/>
      <c r="AO110" s="63"/>
      <c r="AP110" s="63"/>
      <c r="AQ110" s="63"/>
      <c r="AR110" s="60"/>
      <c r="AS110" s="63"/>
      <c r="AT110" s="63"/>
      <c r="AU110" s="63"/>
      <c r="AV110" s="63"/>
      <c r="AW110" s="63"/>
      <c r="AX110" s="63"/>
      <c r="AY110" s="45"/>
      <c r="AZ110" s="32"/>
    </row>
    <row r="111" s="18" customFormat="1" ht="21.15" spans="1:52">
      <c r="A111" s="67"/>
      <c r="B111" s="58"/>
      <c r="C111" s="59"/>
      <c r="D111" s="60"/>
      <c r="E111" s="61"/>
      <c r="F111" s="62"/>
      <c r="G111" s="84"/>
      <c r="H111" s="60"/>
      <c r="I111" s="61"/>
      <c r="J111" s="61"/>
      <c r="K111" s="61"/>
      <c r="L111" s="61"/>
      <c r="M111" s="61"/>
      <c r="N111" s="61"/>
      <c r="O111" s="65"/>
      <c r="P111" s="90"/>
      <c r="Q111" s="91"/>
      <c r="R111" s="92"/>
      <c r="S111" s="67"/>
      <c r="T111" s="58"/>
      <c r="U111" s="59"/>
      <c r="V111" s="60"/>
      <c r="W111" s="61"/>
      <c r="X111" s="63"/>
      <c r="Y111" s="61"/>
      <c r="Z111" s="60"/>
      <c r="AA111" s="61"/>
      <c r="AB111" s="61"/>
      <c r="AC111" s="61"/>
      <c r="AD111" s="61"/>
      <c r="AE111" s="61"/>
      <c r="AF111" s="61"/>
      <c r="AG111" s="65"/>
      <c r="AH111" s="68"/>
      <c r="AI111" s="65"/>
      <c r="AJ111" s="45"/>
      <c r="AK111" s="67"/>
      <c r="AL111" s="79"/>
      <c r="AM111" s="82"/>
      <c r="AN111" s="60"/>
      <c r="AO111" s="63"/>
      <c r="AP111" s="63"/>
      <c r="AQ111" s="63"/>
      <c r="AR111" s="60"/>
      <c r="AS111" s="63"/>
      <c r="AT111" s="63"/>
      <c r="AU111" s="63"/>
      <c r="AV111" s="63"/>
      <c r="AW111" s="63"/>
      <c r="AX111" s="63"/>
      <c r="AY111" s="45"/>
      <c r="AZ111" s="32"/>
    </row>
    <row r="112" s="18" customFormat="1" ht="21.15" spans="1:52">
      <c r="A112" s="67"/>
      <c r="B112" s="58"/>
      <c r="C112" s="59"/>
      <c r="D112" s="60"/>
      <c r="E112" s="61"/>
      <c r="F112" s="62"/>
      <c r="G112" s="84"/>
      <c r="H112" s="60"/>
      <c r="I112" s="61"/>
      <c r="J112" s="61"/>
      <c r="K112" s="61"/>
      <c r="L112" s="61"/>
      <c r="M112" s="61"/>
      <c r="N112" s="61"/>
      <c r="O112" s="65"/>
      <c r="P112" s="90"/>
      <c r="Q112" s="91"/>
      <c r="R112" s="93"/>
      <c r="S112" s="67"/>
      <c r="T112" s="58"/>
      <c r="U112" s="59"/>
      <c r="V112" s="60"/>
      <c r="W112" s="61"/>
      <c r="X112" s="63"/>
      <c r="Y112" s="61"/>
      <c r="Z112" s="60"/>
      <c r="AA112" s="61"/>
      <c r="AB112" s="61"/>
      <c r="AC112" s="61"/>
      <c r="AD112" s="61"/>
      <c r="AE112" s="61"/>
      <c r="AF112" s="61"/>
      <c r="AG112" s="65"/>
      <c r="AH112" s="68"/>
      <c r="AI112" s="65"/>
      <c r="AJ112" s="45"/>
      <c r="AK112" s="67"/>
      <c r="AL112" s="79"/>
      <c r="AM112" s="82"/>
      <c r="AN112" s="60"/>
      <c r="AO112" s="63"/>
      <c r="AP112" s="63"/>
      <c r="AQ112" s="63"/>
      <c r="AR112" s="60"/>
      <c r="AS112" s="63"/>
      <c r="AT112" s="63"/>
      <c r="AU112" s="63"/>
      <c r="AV112" s="63"/>
      <c r="AW112" s="63"/>
      <c r="AX112" s="63"/>
      <c r="AY112" s="45"/>
      <c r="AZ112" s="32"/>
    </row>
    <row r="113" s="18" customFormat="1" ht="21.15" spans="1:52">
      <c r="A113" s="67"/>
      <c r="B113" s="58"/>
      <c r="C113" s="59"/>
      <c r="D113" s="60"/>
      <c r="E113" s="61"/>
      <c r="F113" s="62"/>
      <c r="G113" s="84"/>
      <c r="H113" s="60"/>
      <c r="I113" s="61"/>
      <c r="J113" s="61"/>
      <c r="K113" s="61"/>
      <c r="L113" s="61"/>
      <c r="M113" s="61"/>
      <c r="N113" s="61"/>
      <c r="O113" s="65"/>
      <c r="P113" s="90"/>
      <c r="Q113" s="91"/>
      <c r="R113" s="92"/>
      <c r="S113" s="67"/>
      <c r="T113" s="58"/>
      <c r="U113" s="59"/>
      <c r="V113" s="60"/>
      <c r="W113" s="61"/>
      <c r="X113" s="63"/>
      <c r="Y113" s="61"/>
      <c r="Z113" s="60"/>
      <c r="AA113" s="61"/>
      <c r="AB113" s="61"/>
      <c r="AC113" s="61"/>
      <c r="AD113" s="61"/>
      <c r="AE113" s="61"/>
      <c r="AF113" s="61"/>
      <c r="AG113" s="65"/>
      <c r="AH113" s="68"/>
      <c r="AI113" s="65"/>
      <c r="AJ113" s="45"/>
      <c r="AK113" s="67"/>
      <c r="AL113" s="79"/>
      <c r="AM113" s="82"/>
      <c r="AN113" s="60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45"/>
      <c r="AZ113" s="32"/>
    </row>
    <row r="114" s="18" customFormat="1" ht="21.15" spans="1:52">
      <c r="A114" s="67"/>
      <c r="B114" s="58"/>
      <c r="C114" s="59"/>
      <c r="D114" s="60"/>
      <c r="E114" s="61"/>
      <c r="F114" s="62"/>
      <c r="G114" s="84"/>
      <c r="H114" s="60"/>
      <c r="I114" s="61"/>
      <c r="J114" s="61"/>
      <c r="K114" s="61"/>
      <c r="L114" s="61"/>
      <c r="M114" s="61"/>
      <c r="N114" s="61"/>
      <c r="O114" s="65"/>
      <c r="P114" s="90"/>
      <c r="Q114" s="91"/>
      <c r="R114" s="93"/>
      <c r="S114" s="67"/>
      <c r="T114" s="58"/>
      <c r="U114" s="59"/>
      <c r="V114" s="60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45"/>
      <c r="AH114" s="85"/>
      <c r="AI114" s="45"/>
      <c r="AJ114" s="45"/>
      <c r="AK114" s="67"/>
      <c r="AL114" s="79"/>
      <c r="AM114" s="82"/>
      <c r="AN114" s="60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45"/>
      <c r="AZ114" s="32"/>
    </row>
    <row r="115" s="18" customFormat="1" ht="17.25" customHeight="1" spans="1:52">
      <c r="A115" s="67"/>
      <c r="B115" s="58"/>
      <c r="C115" s="59"/>
      <c r="D115" s="60"/>
      <c r="E115" s="61"/>
      <c r="F115" s="62"/>
      <c r="G115" s="84"/>
      <c r="H115" s="60"/>
      <c r="I115" s="61"/>
      <c r="J115" s="61"/>
      <c r="K115" s="61"/>
      <c r="L115" s="61"/>
      <c r="M115" s="61"/>
      <c r="N115" s="61"/>
      <c r="O115" s="65"/>
      <c r="P115" s="90"/>
      <c r="Q115" s="91"/>
      <c r="R115" s="92"/>
      <c r="S115" s="67"/>
      <c r="T115" s="71"/>
      <c r="U115" s="59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86"/>
      <c r="AI115" s="72"/>
      <c r="AJ115" s="45"/>
      <c r="AK115" s="67"/>
      <c r="AL115" s="87"/>
      <c r="AM115" s="8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32"/>
    </row>
    <row r="116" s="18" customFormat="1" ht="21.15" spans="1:52">
      <c r="A116" s="67"/>
      <c r="B116" s="58"/>
      <c r="C116" s="59"/>
      <c r="D116" s="60"/>
      <c r="E116" s="61"/>
      <c r="F116" s="62"/>
      <c r="G116" s="84"/>
      <c r="H116" s="60"/>
      <c r="I116" s="61"/>
      <c r="J116" s="61"/>
      <c r="K116" s="61"/>
      <c r="L116" s="61"/>
      <c r="M116" s="61"/>
      <c r="N116" s="61"/>
      <c r="O116" s="65"/>
      <c r="P116" s="90"/>
      <c r="Q116" s="91"/>
      <c r="R116" s="93"/>
      <c r="S116" s="67"/>
      <c r="T116" s="58"/>
      <c r="U116" s="59"/>
      <c r="V116" s="60"/>
      <c r="W116" s="61"/>
      <c r="X116" s="61"/>
      <c r="Y116" s="61"/>
      <c r="Z116" s="60"/>
      <c r="AA116" s="61"/>
      <c r="AB116" s="61"/>
      <c r="AC116" s="61"/>
      <c r="AD116" s="61"/>
      <c r="AE116" s="61"/>
      <c r="AF116" s="61"/>
      <c r="AG116" s="65"/>
      <c r="AH116" s="68"/>
      <c r="AI116" s="65"/>
      <c r="AJ116" s="45"/>
      <c r="AK116" s="28"/>
      <c r="AL116" s="31"/>
      <c r="AM116" s="26"/>
      <c r="AN116" s="27"/>
      <c r="AO116" s="27"/>
      <c r="AP116" s="27"/>
      <c r="AQ116" s="27"/>
      <c r="AR116" s="27"/>
      <c r="AZ116" s="32"/>
    </row>
    <row r="117" s="18" customFormat="1" ht="21.15" spans="1:52">
      <c r="A117" s="67"/>
      <c r="B117" s="58"/>
      <c r="C117" s="59"/>
      <c r="D117" s="60"/>
      <c r="E117" s="61"/>
      <c r="F117" s="62"/>
      <c r="G117" s="84"/>
      <c r="H117" s="60"/>
      <c r="I117" s="61"/>
      <c r="J117" s="61"/>
      <c r="K117" s="61"/>
      <c r="L117" s="61"/>
      <c r="M117" s="61"/>
      <c r="N117" s="61"/>
      <c r="O117" s="65"/>
      <c r="P117" s="90"/>
      <c r="Q117" s="91"/>
      <c r="R117" s="92"/>
      <c r="S117" s="67"/>
      <c r="T117" s="58"/>
      <c r="U117" s="59"/>
      <c r="V117" s="60"/>
      <c r="W117" s="61"/>
      <c r="X117" s="63"/>
      <c r="Y117" s="61"/>
      <c r="Z117" s="60"/>
      <c r="AA117" s="61"/>
      <c r="AB117" s="61"/>
      <c r="AC117" s="61"/>
      <c r="AD117" s="61"/>
      <c r="AE117" s="61"/>
      <c r="AF117" s="61"/>
      <c r="AG117" s="65"/>
      <c r="AH117" s="68"/>
      <c r="AI117" s="65"/>
      <c r="AJ117" s="45"/>
      <c r="AK117" s="28"/>
      <c r="AL117" s="31"/>
      <c r="AM117" s="26"/>
      <c r="AN117" s="27"/>
      <c r="AO117" s="27"/>
      <c r="AP117" s="27"/>
      <c r="AQ117" s="27"/>
      <c r="AR117" s="27"/>
      <c r="AZ117" s="32"/>
    </row>
    <row r="118" s="18" customFormat="1" spans="1:52">
      <c r="A118" s="67"/>
      <c r="B118" s="58"/>
      <c r="C118" s="59"/>
      <c r="D118" s="60"/>
      <c r="E118" s="61"/>
      <c r="F118" s="62"/>
      <c r="G118" s="84"/>
      <c r="H118" s="60"/>
      <c r="I118" s="61"/>
      <c r="J118" s="61"/>
      <c r="K118" s="61"/>
      <c r="L118" s="61"/>
      <c r="M118" s="61"/>
      <c r="N118" s="61"/>
      <c r="O118" s="65"/>
      <c r="P118" s="66"/>
      <c r="Q118" s="65"/>
      <c r="R118" s="45"/>
      <c r="S118" s="67"/>
      <c r="T118" s="58"/>
      <c r="U118" s="59"/>
      <c r="V118" s="60"/>
      <c r="W118" s="61"/>
      <c r="X118" s="63"/>
      <c r="Y118" s="61"/>
      <c r="Z118" s="60"/>
      <c r="AA118" s="61"/>
      <c r="AB118" s="61"/>
      <c r="AC118" s="61"/>
      <c r="AD118" s="61"/>
      <c r="AE118" s="61"/>
      <c r="AF118" s="61"/>
      <c r="AG118" s="65"/>
      <c r="AH118" s="68"/>
      <c r="AI118" s="65"/>
      <c r="AJ118" s="45"/>
      <c r="AK118" s="28"/>
      <c r="AL118" s="31"/>
      <c r="AM118" s="26"/>
      <c r="AN118" s="27"/>
      <c r="AO118" s="27"/>
      <c r="AP118" s="27"/>
      <c r="AQ118" s="27"/>
      <c r="AR118" s="27"/>
      <c r="AZ118" s="32"/>
    </row>
    <row r="119" s="18" customFormat="1" spans="1:52">
      <c r="A119" s="67"/>
      <c r="B119" s="58"/>
      <c r="C119" s="59"/>
      <c r="D119" s="60"/>
      <c r="E119" s="61"/>
      <c r="F119" s="62"/>
      <c r="G119" s="84"/>
      <c r="H119" s="60"/>
      <c r="I119" s="61"/>
      <c r="J119" s="61"/>
      <c r="K119" s="61"/>
      <c r="L119" s="61"/>
      <c r="M119" s="61"/>
      <c r="N119" s="61"/>
      <c r="O119" s="65"/>
      <c r="P119" s="66"/>
      <c r="Q119" s="65"/>
      <c r="R119" s="45"/>
      <c r="S119" s="67"/>
      <c r="T119" s="58"/>
      <c r="U119" s="59"/>
      <c r="V119" s="60"/>
      <c r="W119" s="61"/>
      <c r="X119" s="63"/>
      <c r="Y119" s="61"/>
      <c r="Z119" s="60"/>
      <c r="AA119" s="61"/>
      <c r="AB119" s="61"/>
      <c r="AC119" s="61"/>
      <c r="AD119" s="61"/>
      <c r="AE119" s="61"/>
      <c r="AF119" s="61"/>
      <c r="AG119" s="65"/>
      <c r="AH119" s="68"/>
      <c r="AI119" s="65"/>
      <c r="AJ119" s="45"/>
      <c r="AK119" s="18"/>
      <c r="AL119" s="18"/>
      <c r="AM119" s="18"/>
      <c r="AN119" s="18"/>
      <c r="AQ119" s="27"/>
      <c r="AR119" s="27"/>
      <c r="AZ119" s="32"/>
    </row>
    <row r="120" s="18" customFormat="1" spans="1:52">
      <c r="A120" s="67"/>
      <c r="B120" s="58"/>
      <c r="C120" s="59"/>
      <c r="D120" s="60"/>
      <c r="E120" s="61"/>
      <c r="F120" s="62"/>
      <c r="G120" s="84"/>
      <c r="H120" s="60"/>
      <c r="I120" s="61"/>
      <c r="J120" s="61"/>
      <c r="K120" s="61"/>
      <c r="L120" s="61"/>
      <c r="M120" s="61"/>
      <c r="N120" s="61"/>
      <c r="O120" s="45"/>
      <c r="P120" s="74"/>
      <c r="Q120" s="45"/>
      <c r="R120" s="45"/>
      <c r="S120" s="67"/>
      <c r="T120" s="58"/>
      <c r="U120" s="59"/>
      <c r="V120" s="60"/>
      <c r="W120" s="61"/>
      <c r="X120" s="63"/>
      <c r="Y120" s="61"/>
      <c r="Z120" s="60"/>
      <c r="AA120" s="61"/>
      <c r="AB120" s="61"/>
      <c r="AC120" s="61"/>
      <c r="AD120" s="61"/>
      <c r="AE120" s="61"/>
      <c r="AF120" s="61"/>
      <c r="AG120" s="65"/>
      <c r="AH120" s="68"/>
      <c r="AI120" s="65"/>
      <c r="AJ120" s="45"/>
      <c r="AK120" s="18"/>
      <c r="AL120" s="18"/>
      <c r="AM120" s="18"/>
      <c r="AN120" s="18"/>
      <c r="AQ120" s="27"/>
      <c r="AR120" s="27"/>
      <c r="AZ120" s="32"/>
    </row>
    <row r="121" s="18" customFormat="1" spans="1:52">
      <c r="A121" s="67"/>
      <c r="B121" s="58"/>
      <c r="C121" s="59"/>
      <c r="D121" s="60"/>
      <c r="E121" s="61"/>
      <c r="F121" s="62"/>
      <c r="G121" s="84"/>
      <c r="H121" s="60"/>
      <c r="I121" s="61"/>
      <c r="J121" s="61"/>
      <c r="K121" s="61"/>
      <c r="L121" s="61"/>
      <c r="M121" s="61"/>
      <c r="N121" s="61"/>
      <c r="O121" s="45"/>
      <c r="P121" s="74"/>
      <c r="Q121" s="45"/>
      <c r="R121" s="45"/>
      <c r="S121" s="67"/>
      <c r="T121" s="58"/>
      <c r="U121" s="59"/>
      <c r="V121" s="60"/>
      <c r="W121" s="61"/>
      <c r="X121" s="63"/>
      <c r="Y121" s="61"/>
      <c r="Z121" s="60"/>
      <c r="AA121" s="61"/>
      <c r="AB121" s="61"/>
      <c r="AC121" s="61"/>
      <c r="AD121" s="61"/>
      <c r="AE121" s="61"/>
      <c r="AF121" s="61"/>
      <c r="AG121" s="65"/>
      <c r="AH121" s="68"/>
      <c r="AI121" s="65"/>
      <c r="AJ121" s="45"/>
      <c r="AK121" s="18"/>
      <c r="AL121" s="18"/>
      <c r="AM121" s="18"/>
      <c r="AN121" s="18"/>
      <c r="AQ121" s="27"/>
      <c r="AR121" s="27"/>
      <c r="AZ121" s="32"/>
    </row>
    <row r="122" s="18" customFormat="1" spans="1:52">
      <c r="A122" s="67"/>
      <c r="B122" s="58"/>
      <c r="C122" s="59"/>
      <c r="D122" s="60"/>
      <c r="E122" s="61"/>
      <c r="F122" s="62"/>
      <c r="G122" s="84"/>
      <c r="H122" s="60"/>
      <c r="I122" s="61"/>
      <c r="J122" s="61"/>
      <c r="K122" s="61"/>
      <c r="L122" s="61"/>
      <c r="M122" s="61"/>
      <c r="N122" s="61"/>
      <c r="O122" s="45"/>
      <c r="P122" s="74"/>
      <c r="Q122" s="45"/>
      <c r="R122" s="45"/>
      <c r="S122" s="67"/>
      <c r="T122" s="58"/>
      <c r="U122" s="59"/>
      <c r="V122" s="60"/>
      <c r="W122" s="61"/>
      <c r="X122" s="63"/>
      <c r="Y122" s="61"/>
      <c r="Z122" s="60"/>
      <c r="AA122" s="61"/>
      <c r="AB122" s="61"/>
      <c r="AC122" s="61"/>
      <c r="AD122" s="61"/>
      <c r="AE122" s="61"/>
      <c r="AF122" s="61"/>
      <c r="AG122" s="65"/>
      <c r="AH122" s="68"/>
      <c r="AI122" s="65"/>
      <c r="AJ122" s="45"/>
      <c r="AZ122" s="32"/>
    </row>
    <row r="123" s="18" customFormat="1" spans="1:52">
      <c r="A123" s="67"/>
      <c r="B123" s="58"/>
      <c r="C123" s="59"/>
      <c r="D123" s="60"/>
      <c r="E123" s="61"/>
      <c r="F123" s="62"/>
      <c r="G123" s="84"/>
      <c r="H123" s="60"/>
      <c r="I123" s="61"/>
      <c r="J123" s="61"/>
      <c r="K123" s="61"/>
      <c r="L123" s="61"/>
      <c r="M123" s="61"/>
      <c r="N123" s="61"/>
      <c r="O123" s="45"/>
      <c r="P123" s="74"/>
      <c r="Q123" s="45"/>
      <c r="R123" s="45"/>
      <c r="S123" s="67"/>
      <c r="T123" s="58"/>
      <c r="U123" s="59"/>
      <c r="V123" s="60"/>
      <c r="W123" s="61"/>
      <c r="X123" s="63"/>
      <c r="Y123" s="61"/>
      <c r="Z123" s="60"/>
      <c r="AA123" s="61"/>
      <c r="AB123" s="61"/>
      <c r="AC123" s="61"/>
      <c r="AD123" s="61"/>
      <c r="AE123" s="61"/>
      <c r="AF123" s="61"/>
      <c r="AG123" s="65"/>
      <c r="AH123" s="68"/>
      <c r="AI123" s="65"/>
      <c r="AJ123" s="45"/>
      <c r="AZ123" s="32"/>
    </row>
    <row r="124" s="18" customFormat="1" spans="1:52">
      <c r="A124" s="67"/>
      <c r="B124" s="58"/>
      <c r="C124" s="59"/>
      <c r="D124" s="60"/>
      <c r="E124" s="61"/>
      <c r="F124" s="62"/>
      <c r="G124" s="84"/>
      <c r="H124" s="60"/>
      <c r="I124" s="61"/>
      <c r="J124" s="61"/>
      <c r="K124" s="61"/>
      <c r="L124" s="61"/>
      <c r="M124" s="61"/>
      <c r="N124" s="61"/>
      <c r="O124" s="45"/>
      <c r="P124" s="74"/>
      <c r="Q124" s="45"/>
      <c r="R124" s="45"/>
      <c r="S124" s="67"/>
      <c r="T124" s="58"/>
      <c r="U124" s="59"/>
      <c r="V124" s="60"/>
      <c r="W124" s="61"/>
      <c r="X124" s="63"/>
      <c r="Y124" s="61"/>
      <c r="Z124" s="60"/>
      <c r="AA124" s="61"/>
      <c r="AB124" s="61"/>
      <c r="AC124" s="61"/>
      <c r="AD124" s="61"/>
      <c r="AE124" s="61"/>
      <c r="AF124" s="61"/>
      <c r="AG124" s="65"/>
      <c r="AH124" s="68"/>
      <c r="AI124" s="65"/>
      <c r="AJ124" s="45"/>
      <c r="AZ124" s="32"/>
    </row>
    <row r="125" s="18" customFormat="1" spans="1:52">
      <c r="A125" s="67"/>
      <c r="B125" s="58"/>
      <c r="C125" s="59"/>
      <c r="D125" s="60"/>
      <c r="E125" s="61"/>
      <c r="F125" s="62"/>
      <c r="G125" s="84"/>
      <c r="H125" s="60"/>
      <c r="I125" s="61"/>
      <c r="J125" s="61"/>
      <c r="K125" s="61"/>
      <c r="L125" s="61"/>
      <c r="M125" s="61"/>
      <c r="N125" s="61"/>
      <c r="O125" s="45"/>
      <c r="P125" s="74"/>
      <c r="Q125" s="45"/>
      <c r="R125" s="45"/>
      <c r="S125" s="67"/>
      <c r="T125" s="58"/>
      <c r="U125" s="59"/>
      <c r="V125" s="60"/>
      <c r="W125" s="61"/>
      <c r="X125" s="63"/>
      <c r="Y125" s="61"/>
      <c r="Z125" s="60"/>
      <c r="AA125" s="61"/>
      <c r="AB125" s="61"/>
      <c r="AC125" s="61"/>
      <c r="AD125" s="61"/>
      <c r="AE125" s="61"/>
      <c r="AF125" s="61"/>
      <c r="AG125" s="65"/>
      <c r="AH125" s="68"/>
      <c r="AI125" s="65"/>
      <c r="AJ125" s="45"/>
      <c r="AZ125" s="32"/>
    </row>
    <row r="126" s="18" customFormat="1" spans="1:52">
      <c r="A126" s="67"/>
      <c r="B126" s="58"/>
      <c r="C126" s="59"/>
      <c r="D126" s="60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45"/>
      <c r="P126" s="74"/>
      <c r="Q126" s="45"/>
      <c r="R126" s="45"/>
      <c r="S126" s="67"/>
      <c r="T126" s="58"/>
      <c r="U126" s="59"/>
      <c r="V126" s="60"/>
      <c r="W126" s="61"/>
      <c r="X126" s="63"/>
      <c r="Y126" s="61"/>
      <c r="Z126" s="60"/>
      <c r="AA126" s="61"/>
      <c r="AB126" s="61"/>
      <c r="AC126" s="61"/>
      <c r="AD126" s="61"/>
      <c r="AE126" s="61"/>
      <c r="AF126" s="61"/>
      <c r="AG126" s="65"/>
      <c r="AH126" s="68"/>
      <c r="AI126" s="65"/>
      <c r="AJ126" s="45"/>
      <c r="AZ126" s="32"/>
    </row>
    <row r="127" s="18" customFormat="1" spans="1:52">
      <c r="A127" s="67"/>
      <c r="B127" s="71"/>
      <c r="C127" s="59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80"/>
      <c r="Q127" s="72"/>
      <c r="R127" s="45"/>
      <c r="S127" s="67"/>
      <c r="T127" s="58"/>
      <c r="U127" s="59"/>
      <c r="V127" s="60"/>
      <c r="W127" s="61"/>
      <c r="X127" s="63"/>
      <c r="Y127" s="61"/>
      <c r="Z127" s="60"/>
      <c r="AA127" s="61"/>
      <c r="AB127" s="61"/>
      <c r="AC127" s="61"/>
      <c r="AD127" s="61"/>
      <c r="AE127" s="61"/>
      <c r="AF127" s="61"/>
      <c r="AG127" s="65"/>
      <c r="AH127" s="68"/>
      <c r="AI127" s="65"/>
      <c r="AJ127" s="45"/>
      <c r="AZ127" s="32"/>
    </row>
    <row r="128" s="18" customFormat="1" ht="16.5" customHeight="1" spans="1:52">
      <c r="A128" s="67"/>
      <c r="B128" s="87"/>
      <c r="C128" s="8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80"/>
      <c r="Q128" s="72"/>
      <c r="R128" s="18"/>
      <c r="S128" s="18"/>
      <c r="U128" s="26"/>
      <c r="V128" s="27"/>
      <c r="W128" s="27"/>
      <c r="X128" s="27"/>
      <c r="Y128" s="27"/>
      <c r="Z128" s="27"/>
      <c r="AA128" s="18"/>
      <c r="AB128" s="18"/>
      <c r="AG128" s="28"/>
      <c r="AH128" s="30"/>
      <c r="AI128" s="28"/>
      <c r="AL128" s="31"/>
      <c r="AM128" s="26"/>
      <c r="AN128" s="27"/>
      <c r="AO128" s="27"/>
      <c r="AP128" s="27"/>
      <c r="AQ128" s="27"/>
      <c r="AR128" s="27"/>
      <c r="AZ128" s="32"/>
    </row>
    <row r="129" s="18" customFormat="1" spans="1:52">
      <c r="A129" s="26"/>
      <c r="B129" s="27"/>
      <c r="C129" s="27"/>
      <c r="D129" s="27"/>
      <c r="E129" s="27"/>
      <c r="F129" s="27"/>
      <c r="O129" s="28"/>
      <c r="P129" s="29"/>
      <c r="Q129" s="28"/>
      <c r="R129" s="18"/>
      <c r="S129" s="18"/>
      <c r="U129" s="26"/>
      <c r="V129" s="27"/>
      <c r="W129" s="27"/>
      <c r="X129" s="27"/>
      <c r="Y129" s="27"/>
      <c r="Z129" s="27"/>
      <c r="AA129" s="18"/>
      <c r="AB129" s="18"/>
      <c r="AG129" s="28"/>
      <c r="AH129" s="30"/>
      <c r="AI129" s="28"/>
      <c r="AL129" s="31"/>
      <c r="AM129" s="26"/>
      <c r="AN129" s="27"/>
      <c r="AO129" s="27"/>
      <c r="AP129" s="27"/>
      <c r="AQ129" s="27"/>
      <c r="AR129" s="27"/>
      <c r="AZ129" s="32"/>
    </row>
  </sheetData>
  <mergeCells count="19">
    <mergeCell ref="A1:O1"/>
    <mergeCell ref="S1:AG1"/>
    <mergeCell ref="AK1:AY1"/>
    <mergeCell ref="A3:A23"/>
    <mergeCell ref="A27:A47"/>
    <mergeCell ref="A51:A71"/>
    <mergeCell ref="A75:A95"/>
    <mergeCell ref="A110:A127"/>
    <mergeCell ref="S3:S23"/>
    <mergeCell ref="S27:S47"/>
    <mergeCell ref="S51:S71"/>
    <mergeCell ref="S80:S97"/>
    <mergeCell ref="S98:S115"/>
    <mergeCell ref="S116:S127"/>
    <mergeCell ref="AK3:AK23"/>
    <mergeCell ref="AK44:AK61"/>
    <mergeCell ref="AK62:AK79"/>
    <mergeCell ref="AK80:AK97"/>
    <mergeCell ref="AK98:AK115"/>
  </mergeCell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146"/>
  <sheetViews>
    <sheetView tabSelected="1" zoomScale="73" zoomScaleNormal="73" topLeftCell="M129" workbookViewId="0">
      <selection activeCell="AR140" sqref="AR140"/>
    </sheetView>
  </sheetViews>
  <sheetFormatPr defaultColWidth="9.23076923076923" defaultRowHeight="16.8"/>
  <cols>
    <col min="6" max="12" width="9.61538461538461"/>
    <col min="16" max="17" width="9.61538461538461"/>
    <col min="23" max="23" width="11.8461538461538" customWidth="1"/>
  </cols>
  <sheetData>
    <row r="2" ht="26" spans="2:23">
      <c r="B2" s="1" t="s">
        <v>202</v>
      </c>
      <c r="C2" s="2" t="s">
        <v>32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31" spans="2:23">
      <c r="B3" s="3"/>
      <c r="C3" s="4" t="s">
        <v>205</v>
      </c>
      <c r="D3" s="4" t="s">
        <v>208</v>
      </c>
      <c r="E3" s="4" t="s">
        <v>210</v>
      </c>
      <c r="F3" s="4" t="s">
        <v>212</v>
      </c>
      <c r="G3" s="4" t="s">
        <v>214</v>
      </c>
      <c r="H3" s="4" t="s">
        <v>216</v>
      </c>
      <c r="I3" s="4" t="s">
        <v>218</v>
      </c>
      <c r="J3" s="4" t="s">
        <v>220</v>
      </c>
      <c r="K3" s="4" t="s">
        <v>222</v>
      </c>
      <c r="L3" s="4" t="s">
        <v>224</v>
      </c>
      <c r="M3" s="4" t="s">
        <v>226</v>
      </c>
      <c r="N3" s="4" t="s">
        <v>228</v>
      </c>
      <c r="O3" s="4" t="s">
        <v>230</v>
      </c>
      <c r="P3" s="4" t="s">
        <v>232</v>
      </c>
      <c r="Q3" s="4" t="s">
        <v>234</v>
      </c>
      <c r="R3" s="4" t="s">
        <v>236</v>
      </c>
      <c r="S3" s="4" t="s">
        <v>238</v>
      </c>
      <c r="T3" s="5" t="s">
        <v>240</v>
      </c>
      <c r="U3" s="4" t="s">
        <v>242</v>
      </c>
      <c r="V3" s="4" t="s">
        <v>244</v>
      </c>
      <c r="W3" s="6" t="s">
        <v>246</v>
      </c>
    </row>
    <row r="4" ht="26" spans="2:23">
      <c r="B4" s="1" t="s">
        <v>203</v>
      </c>
      <c r="C4" s="7" t="s">
        <v>206</v>
      </c>
      <c r="D4" s="8" t="s">
        <v>209</v>
      </c>
      <c r="E4" s="8" t="s">
        <v>211</v>
      </c>
      <c r="F4" s="8" t="s">
        <v>213</v>
      </c>
      <c r="G4" s="8" t="s">
        <v>215</v>
      </c>
      <c r="H4" s="8" t="s">
        <v>217</v>
      </c>
      <c r="I4" s="8" t="s">
        <v>219</v>
      </c>
      <c r="J4" s="8" t="s">
        <v>221</v>
      </c>
      <c r="K4" s="8" t="s">
        <v>223</v>
      </c>
      <c r="L4" s="8" t="s">
        <v>225</v>
      </c>
      <c r="M4" s="8" t="s">
        <v>227</v>
      </c>
      <c r="N4" s="8" t="s">
        <v>229</v>
      </c>
      <c r="O4" s="8" t="s">
        <v>231</v>
      </c>
      <c r="P4" s="8" t="s">
        <v>233</v>
      </c>
      <c r="Q4" s="8" t="s">
        <v>235</v>
      </c>
      <c r="R4" s="8" t="s">
        <v>237</v>
      </c>
      <c r="S4" s="8" t="s">
        <v>239</v>
      </c>
      <c r="T4" s="8" t="s">
        <v>241</v>
      </c>
      <c r="U4" s="8" t="s">
        <v>243</v>
      </c>
      <c r="V4" s="8" t="s">
        <v>245</v>
      </c>
      <c r="W4" s="8"/>
    </row>
    <row r="5" ht="26" spans="2:23">
      <c r="B5" s="1" t="s">
        <v>2</v>
      </c>
      <c r="C5" s="9"/>
      <c r="D5" s="9">
        <v>264.5</v>
      </c>
      <c r="E5" s="9">
        <v>2174.5</v>
      </c>
      <c r="F5" s="9">
        <v>15392.5</v>
      </c>
      <c r="G5" s="9">
        <v>25286.78</v>
      </c>
      <c r="H5" s="9">
        <v>18670.5</v>
      </c>
      <c r="I5" s="9">
        <v>11735.52</v>
      </c>
      <c r="J5" s="9">
        <v>8210.94</v>
      </c>
      <c r="K5" s="9">
        <v>18622</v>
      </c>
      <c r="L5" s="9">
        <v>5153.83</v>
      </c>
      <c r="M5" s="9">
        <v>2276.5</v>
      </c>
      <c r="N5" s="9">
        <v>1248.5</v>
      </c>
      <c r="O5" s="9">
        <v>1062</v>
      </c>
      <c r="P5" s="9">
        <v>2878</v>
      </c>
      <c r="Q5" s="9">
        <v>2421.5</v>
      </c>
      <c r="R5" s="9">
        <v>922</v>
      </c>
      <c r="S5" s="9">
        <v>496</v>
      </c>
      <c r="T5" s="9">
        <v>3</v>
      </c>
      <c r="U5" s="10"/>
      <c r="V5" s="11"/>
      <c r="W5" s="12">
        <f t="shared" ref="W5:W16" si="0">SUM(C5:V5)</f>
        <v>116818.57</v>
      </c>
    </row>
    <row r="6" ht="26" spans="2:23">
      <c r="B6" s="1" t="s">
        <v>3</v>
      </c>
      <c r="C6" s="9"/>
      <c r="D6" s="9">
        <v>258</v>
      </c>
      <c r="E6" s="9">
        <v>2750</v>
      </c>
      <c r="F6" s="9">
        <v>15147.67</v>
      </c>
      <c r="G6" s="9">
        <v>23655.43</v>
      </c>
      <c r="H6" s="9">
        <v>17627</v>
      </c>
      <c r="I6" s="9">
        <v>11096</v>
      </c>
      <c r="J6" s="9">
        <v>8265</v>
      </c>
      <c r="K6" s="9">
        <v>17072</v>
      </c>
      <c r="L6" s="9">
        <v>5334</v>
      </c>
      <c r="M6" s="9">
        <v>2021.5</v>
      </c>
      <c r="N6" s="9">
        <v>1587</v>
      </c>
      <c r="O6" s="9">
        <v>1880</v>
      </c>
      <c r="P6" s="9">
        <v>3479</v>
      </c>
      <c r="Q6" s="9">
        <v>2673.5</v>
      </c>
      <c r="R6" s="9">
        <v>1255.5</v>
      </c>
      <c r="S6" s="9">
        <v>460</v>
      </c>
      <c r="T6" s="9">
        <v>36</v>
      </c>
      <c r="U6" s="10"/>
      <c r="V6" s="13"/>
      <c r="W6" s="12">
        <f t="shared" si="0"/>
        <v>114597.6</v>
      </c>
    </row>
    <row r="7" ht="26" spans="2:23">
      <c r="B7" s="1" t="s">
        <v>4</v>
      </c>
      <c r="C7" s="9"/>
      <c r="D7" s="9">
        <v>165.5</v>
      </c>
      <c r="E7" s="9">
        <v>4262</v>
      </c>
      <c r="F7" s="9">
        <v>19091.5</v>
      </c>
      <c r="G7" s="9">
        <v>28832</v>
      </c>
      <c r="H7" s="9">
        <v>18617</v>
      </c>
      <c r="I7" s="9">
        <v>10288</v>
      </c>
      <c r="J7" s="9">
        <v>7918</v>
      </c>
      <c r="K7" s="9">
        <v>17233.5</v>
      </c>
      <c r="L7" s="9">
        <v>4183</v>
      </c>
      <c r="M7" s="9">
        <v>1714</v>
      </c>
      <c r="N7" s="9">
        <v>1121</v>
      </c>
      <c r="O7" s="9">
        <v>1502.5</v>
      </c>
      <c r="P7" s="9">
        <v>3122.5</v>
      </c>
      <c r="Q7" s="9">
        <v>3018.5</v>
      </c>
      <c r="R7" s="9">
        <v>1228</v>
      </c>
      <c r="S7" s="9">
        <v>620.5</v>
      </c>
      <c r="T7" s="9">
        <v>117</v>
      </c>
      <c r="U7" s="10"/>
      <c r="V7" s="13"/>
      <c r="W7" s="12">
        <f t="shared" si="0"/>
        <v>123034.5</v>
      </c>
    </row>
    <row r="8" ht="26" spans="2:23">
      <c r="B8" s="1" t="s">
        <v>5</v>
      </c>
      <c r="C8" s="9"/>
      <c r="D8" s="9">
        <v>115.5</v>
      </c>
      <c r="E8" s="9">
        <v>5829.6</v>
      </c>
      <c r="F8" s="9">
        <v>22408.5</v>
      </c>
      <c r="G8" s="9">
        <v>28930.4</v>
      </c>
      <c r="H8" s="9">
        <v>16214.4</v>
      </c>
      <c r="I8" s="9">
        <v>8339</v>
      </c>
      <c r="J8" s="9">
        <v>7238.96</v>
      </c>
      <c r="K8" s="9">
        <v>15651</v>
      </c>
      <c r="L8" s="9">
        <v>3843.5</v>
      </c>
      <c r="M8" s="9">
        <v>1810</v>
      </c>
      <c r="N8" s="9">
        <v>941.5</v>
      </c>
      <c r="O8" s="9">
        <v>1167.5</v>
      </c>
      <c r="P8" s="9">
        <v>3195</v>
      </c>
      <c r="Q8" s="9">
        <v>2701</v>
      </c>
      <c r="R8" s="9">
        <v>1001.5</v>
      </c>
      <c r="S8" s="9">
        <v>730.5</v>
      </c>
      <c r="T8" s="9">
        <v>31</v>
      </c>
      <c r="U8" s="10"/>
      <c r="V8" s="13"/>
      <c r="W8" s="12">
        <f t="shared" si="0"/>
        <v>120148.86</v>
      </c>
    </row>
    <row r="9" ht="26" spans="2:23">
      <c r="B9" s="1" t="s">
        <v>6</v>
      </c>
      <c r="C9" s="9">
        <v>12.5</v>
      </c>
      <c r="D9" s="9">
        <v>721.09</v>
      </c>
      <c r="E9" s="9">
        <v>6809.73</v>
      </c>
      <c r="F9" s="9">
        <v>24325.97</v>
      </c>
      <c r="G9" s="9">
        <v>31840.22</v>
      </c>
      <c r="H9" s="9">
        <v>18028.7</v>
      </c>
      <c r="I9" s="9">
        <v>9503.7</v>
      </c>
      <c r="J9" s="9">
        <v>6515.41</v>
      </c>
      <c r="K9" s="9">
        <v>14189.24</v>
      </c>
      <c r="L9" s="9">
        <v>4380.56</v>
      </c>
      <c r="M9" s="9">
        <v>1428.77</v>
      </c>
      <c r="N9" s="9">
        <v>1130.17</v>
      </c>
      <c r="O9" s="9">
        <v>1199</v>
      </c>
      <c r="P9" s="9">
        <v>3209.5</v>
      </c>
      <c r="Q9" s="9">
        <v>3157.63</v>
      </c>
      <c r="R9" s="9">
        <v>1374.5</v>
      </c>
      <c r="S9" s="9">
        <v>803.5</v>
      </c>
      <c r="T9" s="9">
        <v>6</v>
      </c>
      <c r="U9" s="10"/>
      <c r="V9" s="11"/>
      <c r="W9" s="12">
        <f t="shared" si="0"/>
        <v>128636.19</v>
      </c>
    </row>
    <row r="10" ht="26" spans="2:23">
      <c r="B10" s="1" t="s">
        <v>7</v>
      </c>
      <c r="C10" s="9">
        <v>76</v>
      </c>
      <c r="D10" s="9">
        <v>237</v>
      </c>
      <c r="E10" s="9">
        <v>6248.32</v>
      </c>
      <c r="F10" s="9">
        <v>20342.54</v>
      </c>
      <c r="G10" s="9">
        <v>25817.63</v>
      </c>
      <c r="H10" s="9">
        <v>15211.6</v>
      </c>
      <c r="I10" s="9">
        <v>8667.78</v>
      </c>
      <c r="J10" s="9">
        <v>5364.97</v>
      </c>
      <c r="K10" s="9">
        <v>12515.88</v>
      </c>
      <c r="L10" s="9">
        <v>3337.89</v>
      </c>
      <c r="M10" s="9">
        <v>1323</v>
      </c>
      <c r="N10" s="9">
        <v>810.04</v>
      </c>
      <c r="O10" s="9">
        <v>1241.5</v>
      </c>
      <c r="P10" s="9">
        <v>2725.5</v>
      </c>
      <c r="Q10" s="9">
        <v>2469.72</v>
      </c>
      <c r="R10" s="9">
        <v>1459.5</v>
      </c>
      <c r="S10" s="9">
        <v>794</v>
      </c>
      <c r="T10" s="9">
        <v>29</v>
      </c>
      <c r="U10" s="10"/>
      <c r="V10" s="14"/>
      <c r="W10" s="12">
        <f t="shared" si="0"/>
        <v>108671.87</v>
      </c>
    </row>
    <row r="11" ht="26" spans="2:23">
      <c r="B11" s="1" t="s">
        <v>8</v>
      </c>
      <c r="C11" s="9">
        <v>25</v>
      </c>
      <c r="D11" s="9">
        <v>427</v>
      </c>
      <c r="E11" s="9">
        <v>6236.8</v>
      </c>
      <c r="F11" s="9">
        <v>28319.21</v>
      </c>
      <c r="G11" s="9">
        <v>31319.13</v>
      </c>
      <c r="H11" s="9">
        <v>19147.36</v>
      </c>
      <c r="I11" s="9">
        <v>9920.23</v>
      </c>
      <c r="J11" s="9">
        <v>5705.98</v>
      </c>
      <c r="K11" s="9">
        <v>16664.47</v>
      </c>
      <c r="L11" s="9">
        <v>3426.17</v>
      </c>
      <c r="M11" s="9">
        <v>1034.19</v>
      </c>
      <c r="N11" s="9">
        <v>892.4</v>
      </c>
      <c r="O11" s="9">
        <v>794.23</v>
      </c>
      <c r="P11" s="9">
        <v>2264.04</v>
      </c>
      <c r="Q11" s="9">
        <v>3094.43</v>
      </c>
      <c r="R11" s="9">
        <v>2106.01</v>
      </c>
      <c r="S11" s="9">
        <v>925.57</v>
      </c>
      <c r="T11" s="9">
        <v>93</v>
      </c>
      <c r="U11" s="9"/>
      <c r="V11" s="9"/>
      <c r="W11" s="12">
        <f t="shared" si="0"/>
        <v>132395.22</v>
      </c>
    </row>
    <row r="12" ht="26" spans="2:23">
      <c r="B12" s="1" t="s">
        <v>9</v>
      </c>
      <c r="C12" s="9">
        <v>8</v>
      </c>
      <c r="D12" s="9">
        <v>361.5</v>
      </c>
      <c r="E12" s="9">
        <v>5967.07</v>
      </c>
      <c r="F12" s="9">
        <v>20438.52</v>
      </c>
      <c r="G12" s="9">
        <v>28277.4</v>
      </c>
      <c r="H12" s="9">
        <v>17669.58</v>
      </c>
      <c r="I12" s="9">
        <v>8412.23</v>
      </c>
      <c r="J12" s="9">
        <v>5673.53</v>
      </c>
      <c r="K12" s="9">
        <v>12408.1</v>
      </c>
      <c r="L12" s="9">
        <v>3044.23</v>
      </c>
      <c r="M12" s="9">
        <v>1153.83</v>
      </c>
      <c r="N12" s="9">
        <v>894.67</v>
      </c>
      <c r="O12" s="9">
        <v>588.4</v>
      </c>
      <c r="P12" s="9">
        <v>1684.5</v>
      </c>
      <c r="Q12" s="9">
        <v>2198.36</v>
      </c>
      <c r="R12" s="9">
        <v>1612.73</v>
      </c>
      <c r="S12" s="9">
        <v>647</v>
      </c>
      <c r="T12" s="9">
        <v>21.5</v>
      </c>
      <c r="U12" s="9"/>
      <c r="V12" s="9"/>
      <c r="W12" s="12">
        <f t="shared" si="0"/>
        <v>111061.15</v>
      </c>
    </row>
    <row r="13" ht="26" spans="2:23">
      <c r="B13" s="1" t="s">
        <v>10</v>
      </c>
      <c r="C13" s="9">
        <v>4</v>
      </c>
      <c r="D13" s="9">
        <v>392</v>
      </c>
      <c r="E13" s="9">
        <v>7341.28</v>
      </c>
      <c r="F13" s="9">
        <v>19680.84</v>
      </c>
      <c r="G13" s="9">
        <v>24741.73</v>
      </c>
      <c r="H13" s="9">
        <v>13192.66</v>
      </c>
      <c r="I13" s="9">
        <v>6821.4</v>
      </c>
      <c r="J13" s="9">
        <v>7021.6</v>
      </c>
      <c r="K13" s="9">
        <v>11512.8</v>
      </c>
      <c r="L13" s="9">
        <v>3110.2</v>
      </c>
      <c r="M13" s="9">
        <v>1175.1</v>
      </c>
      <c r="N13" s="9">
        <v>835</v>
      </c>
      <c r="O13" s="9">
        <v>854.2</v>
      </c>
      <c r="P13" s="9">
        <v>2829.6</v>
      </c>
      <c r="Q13" s="9">
        <v>1954.05</v>
      </c>
      <c r="R13" s="9">
        <v>1283.8</v>
      </c>
      <c r="S13" s="9">
        <v>726.4</v>
      </c>
      <c r="T13" s="10"/>
      <c r="U13" s="10"/>
      <c r="V13" s="14"/>
      <c r="W13" s="12">
        <f t="shared" si="0"/>
        <v>103476.66</v>
      </c>
    </row>
    <row r="14" ht="26" spans="2:23">
      <c r="B14" s="1" t="s">
        <v>11</v>
      </c>
      <c r="C14" s="9">
        <v>8</v>
      </c>
      <c r="D14" s="9">
        <v>329.5</v>
      </c>
      <c r="E14" s="9">
        <v>5229.6</v>
      </c>
      <c r="F14" s="9">
        <v>18517.43</v>
      </c>
      <c r="G14" s="9">
        <v>24164.8</v>
      </c>
      <c r="H14" s="9">
        <v>16067.23</v>
      </c>
      <c r="I14" s="9">
        <v>6784.77</v>
      </c>
      <c r="J14" s="9">
        <v>7761.2</v>
      </c>
      <c r="K14" s="9">
        <v>12941.1</v>
      </c>
      <c r="L14" s="9">
        <v>3129.63</v>
      </c>
      <c r="M14" s="9">
        <v>1180.1</v>
      </c>
      <c r="N14" s="9">
        <v>1114.3</v>
      </c>
      <c r="O14" s="9">
        <v>1116.2</v>
      </c>
      <c r="P14" s="9">
        <v>2211.7</v>
      </c>
      <c r="Q14" s="9">
        <v>2023.43</v>
      </c>
      <c r="R14" s="9">
        <v>1043.65</v>
      </c>
      <c r="S14" s="9">
        <v>517.5</v>
      </c>
      <c r="T14" s="9">
        <v>6</v>
      </c>
      <c r="U14" s="10"/>
      <c r="V14" s="14"/>
      <c r="W14" s="12">
        <f t="shared" si="0"/>
        <v>104146.14</v>
      </c>
    </row>
    <row r="15" ht="26" spans="2:23">
      <c r="B15" s="1" t="s">
        <v>12</v>
      </c>
      <c r="C15" s="9"/>
      <c r="D15" s="9">
        <v>147</v>
      </c>
      <c r="E15" s="9">
        <v>3470.1</v>
      </c>
      <c r="F15" s="9">
        <v>18834.2</v>
      </c>
      <c r="G15" s="9">
        <v>24647.63</v>
      </c>
      <c r="H15" s="9">
        <v>17710.23</v>
      </c>
      <c r="I15" s="9">
        <v>8751</v>
      </c>
      <c r="J15" s="9">
        <v>6904.24</v>
      </c>
      <c r="K15" s="9">
        <v>17161.9</v>
      </c>
      <c r="L15" s="9">
        <v>4295.2</v>
      </c>
      <c r="M15" s="9">
        <v>1492.5</v>
      </c>
      <c r="N15" s="9">
        <v>1197.4</v>
      </c>
      <c r="O15" s="9">
        <v>1216.2</v>
      </c>
      <c r="P15" s="9">
        <v>3019.6</v>
      </c>
      <c r="Q15" s="9">
        <v>2196.15</v>
      </c>
      <c r="R15" s="9">
        <v>725.43</v>
      </c>
      <c r="S15" s="9">
        <v>349</v>
      </c>
      <c r="T15" s="9">
        <v>39</v>
      </c>
      <c r="U15" s="10"/>
      <c r="V15" s="14"/>
      <c r="W15" s="12">
        <f t="shared" si="0"/>
        <v>112156.78</v>
      </c>
    </row>
    <row r="16" ht="26" spans="2:23">
      <c r="B16" s="1" t="s">
        <v>13</v>
      </c>
      <c r="C16" s="9">
        <v>42</v>
      </c>
      <c r="D16" s="9">
        <v>3490.6</v>
      </c>
      <c r="E16" s="15">
        <v>23384</v>
      </c>
      <c r="F16" s="9">
        <v>33219.53</v>
      </c>
      <c r="G16" s="9">
        <v>22725.18</v>
      </c>
      <c r="H16" s="9">
        <v>10853.49</v>
      </c>
      <c r="I16" s="9">
        <v>10542.65</v>
      </c>
      <c r="J16" s="15">
        <v>23942.3</v>
      </c>
      <c r="K16" s="9">
        <v>6292.9</v>
      </c>
      <c r="L16" s="9">
        <v>2399.69</v>
      </c>
      <c r="M16" s="9">
        <v>1395.9</v>
      </c>
      <c r="N16" s="9">
        <v>1643.9</v>
      </c>
      <c r="O16" s="15">
        <v>3987.5</v>
      </c>
      <c r="P16" s="9">
        <v>3338.23</v>
      </c>
      <c r="Q16" s="9">
        <v>1152.03</v>
      </c>
      <c r="R16" s="9">
        <v>610</v>
      </c>
      <c r="S16" s="9">
        <v>27</v>
      </c>
      <c r="T16" s="10"/>
      <c r="U16" s="10"/>
      <c r="V16" s="16"/>
      <c r="W16" s="12">
        <f t="shared" si="0"/>
        <v>149046.9</v>
      </c>
    </row>
    <row r="20" ht="26" spans="2:23">
      <c r="B20" s="17" t="s">
        <v>202</v>
      </c>
      <c r="C20" s="2" t="s">
        <v>131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8"/>
      <c r="V20" s="2"/>
      <c r="W20" s="2"/>
    </row>
    <row r="21" ht="31" spans="2:23">
      <c r="B21" s="19"/>
      <c r="C21" s="4" t="s">
        <v>205</v>
      </c>
      <c r="D21" s="4" t="s">
        <v>208</v>
      </c>
      <c r="E21" s="4" t="s">
        <v>210</v>
      </c>
      <c r="F21" s="4" t="s">
        <v>212</v>
      </c>
      <c r="G21" s="4" t="s">
        <v>214</v>
      </c>
      <c r="H21" s="4" t="s">
        <v>216</v>
      </c>
      <c r="I21" s="4" t="s">
        <v>218</v>
      </c>
      <c r="J21" s="20" t="s">
        <v>220</v>
      </c>
      <c r="K21" s="20" t="s">
        <v>222</v>
      </c>
      <c r="L21" s="20" t="s">
        <v>224</v>
      </c>
      <c r="M21" s="4" t="s">
        <v>226</v>
      </c>
      <c r="N21" s="4" t="s">
        <v>228</v>
      </c>
      <c r="O21" s="4" t="s">
        <v>230</v>
      </c>
      <c r="P21" s="4" t="s">
        <v>232</v>
      </c>
      <c r="Q21" s="4" t="s">
        <v>234</v>
      </c>
      <c r="R21" s="4" t="s">
        <v>236</v>
      </c>
      <c r="S21" s="4" t="s">
        <v>238</v>
      </c>
      <c r="T21" s="5" t="s">
        <v>240</v>
      </c>
      <c r="U21" s="18" t="s">
        <v>242</v>
      </c>
      <c r="V21" s="4" t="s">
        <v>244</v>
      </c>
      <c r="W21" s="6" t="s">
        <v>246</v>
      </c>
    </row>
    <row r="22" ht="26" spans="2:23">
      <c r="B22" s="17" t="s">
        <v>203</v>
      </c>
      <c r="C22" s="7" t="s">
        <v>206</v>
      </c>
      <c r="D22" s="8" t="s">
        <v>209</v>
      </c>
      <c r="E22" s="8" t="s">
        <v>211</v>
      </c>
      <c r="F22" s="8" t="s">
        <v>213</v>
      </c>
      <c r="G22" s="8" t="s">
        <v>215</v>
      </c>
      <c r="H22" s="8" t="s">
        <v>217</v>
      </c>
      <c r="I22" s="8" t="s">
        <v>219</v>
      </c>
      <c r="J22" s="8" t="s">
        <v>221</v>
      </c>
      <c r="K22" s="8" t="s">
        <v>223</v>
      </c>
      <c r="L22" s="8" t="s">
        <v>225</v>
      </c>
      <c r="M22" s="8" t="s">
        <v>227</v>
      </c>
      <c r="N22" s="8" t="s">
        <v>229</v>
      </c>
      <c r="O22" s="8" t="s">
        <v>231</v>
      </c>
      <c r="P22" s="8" t="s">
        <v>233</v>
      </c>
      <c r="Q22" s="8" t="s">
        <v>235</v>
      </c>
      <c r="R22" s="8" t="s">
        <v>237</v>
      </c>
      <c r="S22" s="8" t="s">
        <v>239</v>
      </c>
      <c r="T22" s="8" t="s">
        <v>241</v>
      </c>
      <c r="U22" s="18" t="s">
        <v>243</v>
      </c>
      <c r="V22" s="8" t="s">
        <v>245</v>
      </c>
      <c r="W22" s="8"/>
    </row>
    <row r="23" ht="26" spans="2:23">
      <c r="B23" s="17" t="s">
        <v>2</v>
      </c>
      <c r="C23" s="9"/>
      <c r="D23" s="9">
        <v>431</v>
      </c>
      <c r="E23" s="9">
        <v>3907.18</v>
      </c>
      <c r="F23" s="9">
        <v>16656.16</v>
      </c>
      <c r="G23" s="9">
        <v>24798.2</v>
      </c>
      <c r="H23" s="9">
        <v>21532.16</v>
      </c>
      <c r="I23" s="9">
        <v>11458.45</v>
      </c>
      <c r="J23" s="9">
        <v>7568.13</v>
      </c>
      <c r="K23" s="9">
        <v>10546.73</v>
      </c>
      <c r="L23" s="9">
        <v>4454.19</v>
      </c>
      <c r="M23" s="9">
        <v>2485.65</v>
      </c>
      <c r="N23" s="9">
        <v>806.63</v>
      </c>
      <c r="O23" s="9">
        <v>661</v>
      </c>
      <c r="P23" s="9">
        <v>1640.28</v>
      </c>
      <c r="Q23" s="9">
        <v>2079.14</v>
      </c>
      <c r="R23" s="9">
        <v>1264.7</v>
      </c>
      <c r="S23" s="9">
        <v>200.5</v>
      </c>
      <c r="T23" s="9"/>
      <c r="U23" s="18"/>
      <c r="V23" s="11"/>
      <c r="W23" s="12">
        <f t="shared" ref="W23:W34" si="1">SUM(C23:V23)</f>
        <v>110490.1</v>
      </c>
    </row>
    <row r="24" ht="26" spans="2:23">
      <c r="B24" s="17" t="s">
        <v>3</v>
      </c>
      <c r="C24" s="9"/>
      <c r="D24" s="9">
        <v>311.5</v>
      </c>
      <c r="E24" s="9">
        <v>3373</v>
      </c>
      <c r="F24" s="9">
        <v>17880.69</v>
      </c>
      <c r="G24" s="9">
        <v>23761.3</v>
      </c>
      <c r="H24" s="9">
        <v>19505.04</v>
      </c>
      <c r="I24" s="9">
        <v>10324.71</v>
      </c>
      <c r="J24" s="9">
        <v>9324.11</v>
      </c>
      <c r="K24" s="9">
        <v>12928.38</v>
      </c>
      <c r="L24" s="9">
        <v>5424.71</v>
      </c>
      <c r="M24" s="9">
        <v>2220.32</v>
      </c>
      <c r="N24" s="9">
        <v>1342</v>
      </c>
      <c r="O24" s="9">
        <v>878.82</v>
      </c>
      <c r="P24" s="9">
        <v>2157.54</v>
      </c>
      <c r="Q24" s="9">
        <v>2092.5</v>
      </c>
      <c r="R24" s="9">
        <v>1309.74</v>
      </c>
      <c r="S24" s="9">
        <v>165.5</v>
      </c>
      <c r="T24" s="9"/>
      <c r="U24" s="18"/>
      <c r="V24" s="13"/>
      <c r="W24" s="12">
        <f t="shared" si="1"/>
        <v>112999.86</v>
      </c>
    </row>
    <row r="25" ht="26" spans="2:23">
      <c r="B25" s="17" t="s">
        <v>4</v>
      </c>
      <c r="C25" s="9"/>
      <c r="D25" s="9">
        <v>611.72</v>
      </c>
      <c r="E25" s="9">
        <v>5733.74</v>
      </c>
      <c r="F25" s="9">
        <v>26995.44</v>
      </c>
      <c r="G25" s="9">
        <v>31226.51</v>
      </c>
      <c r="H25" s="9">
        <v>21250.35</v>
      </c>
      <c r="I25" s="9">
        <v>10336.13</v>
      </c>
      <c r="J25" s="9">
        <v>9421.74</v>
      </c>
      <c r="K25" s="9">
        <v>12527.31</v>
      </c>
      <c r="L25" s="9">
        <v>5045.6</v>
      </c>
      <c r="M25" s="9">
        <v>2624</v>
      </c>
      <c r="N25" s="9">
        <v>1367</v>
      </c>
      <c r="O25" s="9">
        <v>958</v>
      </c>
      <c r="P25" s="9">
        <v>2788.64</v>
      </c>
      <c r="Q25" s="9">
        <v>2717.89</v>
      </c>
      <c r="R25" s="9">
        <v>1684.05</v>
      </c>
      <c r="S25" s="9">
        <v>401.5</v>
      </c>
      <c r="T25" s="9"/>
      <c r="U25" s="18"/>
      <c r="V25" s="13"/>
      <c r="W25" s="12">
        <f t="shared" si="1"/>
        <v>135689.62</v>
      </c>
    </row>
    <row r="26" ht="26" spans="2:23">
      <c r="B26" s="17" t="s">
        <v>5</v>
      </c>
      <c r="C26" s="9"/>
      <c r="D26" s="9">
        <v>853</v>
      </c>
      <c r="E26" s="9">
        <v>9415.59</v>
      </c>
      <c r="F26" s="9">
        <v>30571.35</v>
      </c>
      <c r="G26" s="9">
        <v>28470.5</v>
      </c>
      <c r="H26" s="9">
        <v>20317.87</v>
      </c>
      <c r="I26" s="9">
        <v>8732.06</v>
      </c>
      <c r="J26" s="9">
        <v>9458.83</v>
      </c>
      <c r="K26" s="9">
        <v>11714.03</v>
      </c>
      <c r="L26" s="9">
        <v>4884.72</v>
      </c>
      <c r="M26" s="9">
        <v>2108.5</v>
      </c>
      <c r="N26" s="9">
        <v>1209.5</v>
      </c>
      <c r="O26" s="9">
        <v>1105.47</v>
      </c>
      <c r="P26" s="9">
        <v>3088.12</v>
      </c>
      <c r="Q26" s="9">
        <v>3340</v>
      </c>
      <c r="R26" s="9">
        <v>2014.48</v>
      </c>
      <c r="S26" s="9">
        <v>534.5</v>
      </c>
      <c r="T26" s="9"/>
      <c r="U26" s="18"/>
      <c r="V26" s="13"/>
      <c r="W26" s="12">
        <f t="shared" si="1"/>
        <v>137818.52</v>
      </c>
    </row>
    <row r="27" ht="26" spans="2:23">
      <c r="B27" s="17" t="s">
        <v>6</v>
      </c>
      <c r="C27" s="9"/>
      <c r="D27" s="9">
        <v>1172.94</v>
      </c>
      <c r="E27" s="9">
        <v>9500.17</v>
      </c>
      <c r="F27" s="9">
        <v>30226.38</v>
      </c>
      <c r="G27" s="9">
        <v>32394.88</v>
      </c>
      <c r="H27" s="9">
        <v>21405.97</v>
      </c>
      <c r="I27" s="9">
        <v>9981.95</v>
      </c>
      <c r="J27" s="9">
        <v>9085.84</v>
      </c>
      <c r="K27" s="9">
        <v>11634.37</v>
      </c>
      <c r="L27" s="9">
        <v>5176.87</v>
      </c>
      <c r="M27" s="9">
        <v>2120.66</v>
      </c>
      <c r="N27" s="9">
        <v>1024.84</v>
      </c>
      <c r="O27" s="9">
        <v>1199.31</v>
      </c>
      <c r="P27" s="9">
        <v>2785.17</v>
      </c>
      <c r="Q27" s="9">
        <v>3431.33</v>
      </c>
      <c r="R27" s="9">
        <v>2313.79</v>
      </c>
      <c r="S27" s="9">
        <v>540</v>
      </c>
      <c r="T27" s="9">
        <v>6.72</v>
      </c>
      <c r="U27" s="18"/>
      <c r="V27" s="11"/>
      <c r="W27" s="12">
        <f t="shared" si="1"/>
        <v>144001.19</v>
      </c>
    </row>
    <row r="28" ht="26" spans="2:23">
      <c r="B28" s="17" t="s">
        <v>7</v>
      </c>
      <c r="C28" s="9"/>
      <c r="D28" s="9">
        <v>1097</v>
      </c>
      <c r="E28" s="9">
        <v>8324.05</v>
      </c>
      <c r="F28" s="9">
        <v>24038.41</v>
      </c>
      <c r="G28" s="9">
        <v>27956.56</v>
      </c>
      <c r="H28" s="9">
        <v>17488.24</v>
      </c>
      <c r="I28" s="9">
        <v>10246.08</v>
      </c>
      <c r="J28" s="9">
        <v>8465.78</v>
      </c>
      <c r="K28" s="9">
        <v>10903.39</v>
      </c>
      <c r="L28" s="9">
        <v>3886.57</v>
      </c>
      <c r="M28" s="9">
        <v>1954.55</v>
      </c>
      <c r="N28" s="9">
        <v>1234.58</v>
      </c>
      <c r="O28" s="9">
        <v>1316.25</v>
      </c>
      <c r="P28" s="9">
        <v>2394.07</v>
      </c>
      <c r="Q28" s="9">
        <v>3910.42</v>
      </c>
      <c r="R28" s="9">
        <v>2077.77</v>
      </c>
      <c r="S28" s="9">
        <v>348.51</v>
      </c>
      <c r="T28" s="9"/>
      <c r="U28" s="18"/>
      <c r="V28" s="14"/>
      <c r="W28" s="12">
        <f t="shared" si="1"/>
        <v>125642.23</v>
      </c>
    </row>
    <row r="29" ht="26" spans="2:23">
      <c r="B29" s="17" t="s">
        <v>8</v>
      </c>
      <c r="C29" s="9"/>
      <c r="D29" s="9">
        <v>1660.84</v>
      </c>
      <c r="E29" s="9">
        <v>10528.62</v>
      </c>
      <c r="F29" s="9">
        <v>30957.16</v>
      </c>
      <c r="G29" s="9">
        <v>35251.14</v>
      </c>
      <c r="H29" s="9">
        <v>22226.22</v>
      </c>
      <c r="I29" s="9">
        <v>11748.66</v>
      </c>
      <c r="J29" s="9">
        <v>9566.58</v>
      </c>
      <c r="K29" s="9">
        <v>11669.63</v>
      </c>
      <c r="L29" s="9">
        <v>4351.27</v>
      </c>
      <c r="M29" s="9">
        <v>1554.91</v>
      </c>
      <c r="N29" s="9">
        <v>1150.57</v>
      </c>
      <c r="O29" s="9">
        <v>867.87</v>
      </c>
      <c r="P29" s="9">
        <v>2207.86</v>
      </c>
      <c r="Q29" s="9">
        <v>3488.58</v>
      </c>
      <c r="R29" s="9">
        <v>2888.66</v>
      </c>
      <c r="S29" s="9">
        <v>498.04</v>
      </c>
      <c r="T29" s="9"/>
      <c r="U29" s="18"/>
      <c r="V29" s="9"/>
      <c r="W29" s="12">
        <f t="shared" si="1"/>
        <v>150616.61</v>
      </c>
    </row>
    <row r="30" ht="26" spans="2:23">
      <c r="B30" s="17" t="s">
        <v>9</v>
      </c>
      <c r="C30" s="9">
        <v>1861.39</v>
      </c>
      <c r="D30" s="9">
        <v>1446.86</v>
      </c>
      <c r="E30" s="9">
        <v>9729.95</v>
      </c>
      <c r="F30" s="9">
        <v>28549.67</v>
      </c>
      <c r="G30" s="9">
        <v>36945.8</v>
      </c>
      <c r="H30" s="9">
        <v>25842.25</v>
      </c>
      <c r="I30" s="9">
        <v>14005.05</v>
      </c>
      <c r="J30" s="9">
        <v>10215.62</v>
      </c>
      <c r="K30" s="9">
        <v>10661.35</v>
      </c>
      <c r="L30" s="9">
        <v>4655.96</v>
      </c>
      <c r="M30" s="9">
        <v>2288.32</v>
      </c>
      <c r="N30" s="9">
        <v>1132.2</v>
      </c>
      <c r="O30" s="9">
        <v>1193.72</v>
      </c>
      <c r="P30" s="9">
        <v>2477.19</v>
      </c>
      <c r="Q30" s="9">
        <v>3252.75</v>
      </c>
      <c r="R30" s="9">
        <v>3038.45</v>
      </c>
      <c r="S30" s="9">
        <v>590.53</v>
      </c>
      <c r="T30" s="9">
        <v>26.66</v>
      </c>
      <c r="U30" s="18"/>
      <c r="V30" s="9"/>
      <c r="W30" s="12">
        <f t="shared" si="1"/>
        <v>157913.72</v>
      </c>
    </row>
    <row r="31" ht="26" spans="2:23">
      <c r="B31" s="17" t="s">
        <v>10</v>
      </c>
      <c r="C31" s="9">
        <v>826.16</v>
      </c>
      <c r="D31" s="9">
        <v>823.36</v>
      </c>
      <c r="E31" s="9">
        <v>11755.29</v>
      </c>
      <c r="F31" s="9">
        <v>28273.57</v>
      </c>
      <c r="G31" s="9">
        <v>29147.54</v>
      </c>
      <c r="H31" s="9">
        <v>18240.58</v>
      </c>
      <c r="I31" s="9">
        <v>9146.58</v>
      </c>
      <c r="J31" s="9">
        <v>9322.95</v>
      </c>
      <c r="K31" s="9">
        <v>10208.4</v>
      </c>
      <c r="L31" s="9">
        <v>4498.74</v>
      </c>
      <c r="M31" s="9">
        <v>2338.16</v>
      </c>
      <c r="N31" s="9">
        <v>1136.73</v>
      </c>
      <c r="O31" s="9">
        <v>1224.59</v>
      </c>
      <c r="P31" s="9">
        <v>2773.04</v>
      </c>
      <c r="Q31" s="9">
        <v>3281.38</v>
      </c>
      <c r="R31" s="9">
        <v>2291.17</v>
      </c>
      <c r="S31" s="9">
        <v>381.05</v>
      </c>
      <c r="T31" s="9">
        <v>15.14</v>
      </c>
      <c r="U31" s="18"/>
      <c r="V31" s="14"/>
      <c r="W31" s="12">
        <f t="shared" si="1"/>
        <v>135684.43</v>
      </c>
    </row>
    <row r="32" ht="26" spans="2:23">
      <c r="B32" s="17" t="s">
        <v>11</v>
      </c>
      <c r="C32" s="9">
        <v>366.19</v>
      </c>
      <c r="D32" s="9">
        <v>640.53</v>
      </c>
      <c r="E32" s="9">
        <v>10328.51</v>
      </c>
      <c r="F32" s="9">
        <v>29988.93</v>
      </c>
      <c r="G32" s="9">
        <v>32207.82</v>
      </c>
      <c r="H32" s="9">
        <v>22838.3</v>
      </c>
      <c r="I32" s="9">
        <v>11580.31</v>
      </c>
      <c r="J32" s="9">
        <v>10667.33</v>
      </c>
      <c r="K32" s="9">
        <v>11395.96</v>
      </c>
      <c r="L32" s="9">
        <v>4998.99</v>
      </c>
      <c r="M32" s="9">
        <v>2605.52</v>
      </c>
      <c r="N32" s="9">
        <v>1377.11</v>
      </c>
      <c r="O32" s="9">
        <v>1368.54</v>
      </c>
      <c r="P32" s="9">
        <v>2861.25</v>
      </c>
      <c r="Q32" s="9">
        <v>3936.4</v>
      </c>
      <c r="R32" s="9">
        <v>2204.14</v>
      </c>
      <c r="S32" s="9">
        <v>209</v>
      </c>
      <c r="T32" s="9">
        <v>8.51</v>
      </c>
      <c r="U32" s="18"/>
      <c r="V32" s="9">
        <v>15.81</v>
      </c>
      <c r="W32" s="12">
        <f t="shared" si="1"/>
        <v>149599.15</v>
      </c>
    </row>
    <row r="33" ht="26" spans="2:23">
      <c r="B33" s="1" t="s">
        <v>12</v>
      </c>
      <c r="C33" s="14">
        <v>184.67</v>
      </c>
      <c r="D33" s="9">
        <v>1147.14</v>
      </c>
      <c r="E33" s="9">
        <v>9871.69</v>
      </c>
      <c r="F33" s="9">
        <v>26949.24</v>
      </c>
      <c r="G33" s="9">
        <v>33371.81</v>
      </c>
      <c r="H33" s="9">
        <v>22511.11</v>
      </c>
      <c r="I33" s="9">
        <v>11936.55</v>
      </c>
      <c r="J33" s="9">
        <v>13633.62</v>
      </c>
      <c r="K33" s="9">
        <v>14121.76</v>
      </c>
      <c r="L33" s="9">
        <v>6609.04</v>
      </c>
      <c r="M33" s="9">
        <v>3734.45</v>
      </c>
      <c r="N33" s="9">
        <v>1733.19</v>
      </c>
      <c r="O33" s="9">
        <v>1404.36</v>
      </c>
      <c r="P33" s="9">
        <v>4180.59</v>
      </c>
      <c r="Q33" s="9">
        <v>4435.01</v>
      </c>
      <c r="R33" s="9">
        <v>2826.77</v>
      </c>
      <c r="S33" s="9">
        <v>427.5</v>
      </c>
      <c r="T33" s="10"/>
      <c r="U33" s="18"/>
      <c r="V33" s="14"/>
      <c r="W33" s="12">
        <f t="shared" si="1"/>
        <v>159078.5</v>
      </c>
    </row>
    <row r="34" ht="26" spans="2:23">
      <c r="B34" s="1" t="s">
        <v>13</v>
      </c>
      <c r="C34" s="16">
        <v>299.8</v>
      </c>
      <c r="D34" s="9">
        <v>1053.96</v>
      </c>
      <c r="E34" s="9">
        <v>9114.77</v>
      </c>
      <c r="F34" s="9">
        <v>24794.52</v>
      </c>
      <c r="G34" s="9">
        <v>33181.69</v>
      </c>
      <c r="H34" s="9">
        <v>23924.17</v>
      </c>
      <c r="I34" s="9">
        <v>13774.74</v>
      </c>
      <c r="J34" s="15">
        <v>17573.88</v>
      </c>
      <c r="K34" s="15">
        <v>20507.43</v>
      </c>
      <c r="L34" s="15">
        <v>9715.57</v>
      </c>
      <c r="M34" s="15">
        <v>4557.37</v>
      </c>
      <c r="N34" s="15">
        <v>2547.48</v>
      </c>
      <c r="O34" s="15">
        <v>2641.76</v>
      </c>
      <c r="P34" s="15">
        <v>5023.47</v>
      </c>
      <c r="Q34" s="15">
        <v>5734.02</v>
      </c>
      <c r="R34" s="9">
        <v>2810.21</v>
      </c>
      <c r="S34" s="9">
        <v>124.5</v>
      </c>
      <c r="T34" s="9">
        <v>20.26</v>
      </c>
      <c r="U34" s="18">
        <v>15.08</v>
      </c>
      <c r="V34" s="9">
        <v>9.08</v>
      </c>
      <c r="W34" s="12">
        <f t="shared" si="1"/>
        <v>177423.76</v>
      </c>
    </row>
    <row r="38" ht="26" spans="2:23">
      <c r="B38" s="17" t="s">
        <v>202</v>
      </c>
      <c r="C38" s="2" t="s">
        <v>53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31" spans="2:23">
      <c r="B39" s="19"/>
      <c r="C39" s="4" t="s">
        <v>205</v>
      </c>
      <c r="D39" s="4" t="s">
        <v>208</v>
      </c>
      <c r="E39" s="4" t="s">
        <v>210</v>
      </c>
      <c r="F39" s="20" t="s">
        <v>212</v>
      </c>
      <c r="G39" s="20" t="s">
        <v>214</v>
      </c>
      <c r="H39" s="4" t="s">
        <v>216</v>
      </c>
      <c r="I39" s="4" t="s">
        <v>218</v>
      </c>
      <c r="J39" s="20" t="s">
        <v>220</v>
      </c>
      <c r="K39" s="20" t="s">
        <v>222</v>
      </c>
      <c r="L39" s="20" t="s">
        <v>224</v>
      </c>
      <c r="M39" s="4" t="s">
        <v>226</v>
      </c>
      <c r="N39" s="4" t="s">
        <v>228</v>
      </c>
      <c r="O39" s="4" t="s">
        <v>230</v>
      </c>
      <c r="P39" s="4" t="s">
        <v>232</v>
      </c>
      <c r="Q39" s="4" t="s">
        <v>234</v>
      </c>
      <c r="R39" s="4" t="s">
        <v>236</v>
      </c>
      <c r="S39" s="4" t="s">
        <v>238</v>
      </c>
      <c r="T39" s="5" t="s">
        <v>240</v>
      </c>
      <c r="U39" s="4" t="s">
        <v>242</v>
      </c>
      <c r="V39" s="4" t="s">
        <v>244</v>
      </c>
      <c r="W39" s="6" t="s">
        <v>246</v>
      </c>
    </row>
    <row r="40" ht="26" spans="2:23">
      <c r="B40" s="17" t="s">
        <v>203</v>
      </c>
      <c r="C40" s="7" t="s">
        <v>206</v>
      </c>
      <c r="D40" s="8" t="s">
        <v>209</v>
      </c>
      <c r="E40" s="8" t="s">
        <v>211</v>
      </c>
      <c r="F40" s="8" t="s">
        <v>213</v>
      </c>
      <c r="G40" s="8" t="s">
        <v>215</v>
      </c>
      <c r="H40" s="8" t="s">
        <v>217</v>
      </c>
      <c r="I40" s="8" t="s">
        <v>219</v>
      </c>
      <c r="J40" s="8" t="s">
        <v>221</v>
      </c>
      <c r="K40" s="8" t="s">
        <v>223</v>
      </c>
      <c r="L40" s="8" t="s">
        <v>225</v>
      </c>
      <c r="M40" s="8" t="s">
        <v>227</v>
      </c>
      <c r="N40" s="8" t="s">
        <v>229</v>
      </c>
      <c r="O40" s="8" t="s">
        <v>231</v>
      </c>
      <c r="P40" s="8" t="s">
        <v>233</v>
      </c>
      <c r="Q40" s="8" t="s">
        <v>235</v>
      </c>
      <c r="R40" s="8" t="s">
        <v>237</v>
      </c>
      <c r="S40" s="8" t="s">
        <v>239</v>
      </c>
      <c r="T40" s="8" t="s">
        <v>241</v>
      </c>
      <c r="U40" s="8" t="s">
        <v>243</v>
      </c>
      <c r="V40" s="8" t="s">
        <v>245</v>
      </c>
      <c r="W40" s="8"/>
    </row>
    <row r="41" ht="26" spans="2:23">
      <c r="B41" s="17" t="s">
        <v>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0"/>
      <c r="V41" s="11"/>
      <c r="W41" s="12">
        <f t="shared" ref="W41:W52" si="2">SUM(C41:V41)</f>
        <v>0</v>
      </c>
    </row>
    <row r="42" ht="26" spans="2:23">
      <c r="B42" s="17" t="s">
        <v>3</v>
      </c>
      <c r="C42" s="9"/>
      <c r="D42" s="9">
        <v>166.9</v>
      </c>
      <c r="E42" s="9">
        <v>2355.8</v>
      </c>
      <c r="F42" s="9">
        <v>8520.4</v>
      </c>
      <c r="G42" s="9">
        <v>15521</v>
      </c>
      <c r="H42" s="9">
        <v>12302.1</v>
      </c>
      <c r="I42" s="9">
        <v>6797.2</v>
      </c>
      <c r="J42" s="9">
        <v>7783.6</v>
      </c>
      <c r="K42" s="9">
        <v>12644.7</v>
      </c>
      <c r="L42" s="9">
        <v>7616.6</v>
      </c>
      <c r="M42" s="9">
        <v>4483.9</v>
      </c>
      <c r="N42" s="9">
        <v>2447.4</v>
      </c>
      <c r="O42" s="9">
        <v>2129.5</v>
      </c>
      <c r="P42" s="9">
        <v>3919.2</v>
      </c>
      <c r="Q42" s="9">
        <v>7590.3</v>
      </c>
      <c r="R42" s="9">
        <v>5336.8</v>
      </c>
      <c r="S42" s="9">
        <v>430.9</v>
      </c>
      <c r="T42" s="9"/>
      <c r="U42" s="10"/>
      <c r="V42" s="13"/>
      <c r="W42" s="12">
        <f t="shared" si="2"/>
        <v>100046.3</v>
      </c>
    </row>
    <row r="43" ht="26" spans="2:23">
      <c r="B43" s="17" t="s">
        <v>4</v>
      </c>
      <c r="C43" s="9"/>
      <c r="D43" s="9">
        <v>684.3</v>
      </c>
      <c r="E43" s="9">
        <v>6370.1</v>
      </c>
      <c r="F43" s="9">
        <v>14794.5</v>
      </c>
      <c r="G43" s="9">
        <v>22640</v>
      </c>
      <c r="H43" s="9">
        <v>17101.5</v>
      </c>
      <c r="I43" s="9">
        <v>9368.1</v>
      </c>
      <c r="J43" s="9">
        <v>11908.3</v>
      </c>
      <c r="K43" s="9">
        <v>20943.9</v>
      </c>
      <c r="L43" s="9">
        <v>12116.8</v>
      </c>
      <c r="M43" s="9">
        <v>6741.5</v>
      </c>
      <c r="N43" s="9">
        <v>3596.1</v>
      </c>
      <c r="O43" s="9">
        <v>3161.8</v>
      </c>
      <c r="P43" s="9">
        <v>4594</v>
      </c>
      <c r="Q43" s="9">
        <v>10167.8</v>
      </c>
      <c r="R43" s="9">
        <v>8539.8</v>
      </c>
      <c r="S43" s="9">
        <v>3052.4</v>
      </c>
      <c r="T43" s="9"/>
      <c r="U43" s="10"/>
      <c r="V43" s="13"/>
      <c r="W43" s="12">
        <f t="shared" si="2"/>
        <v>155780.9</v>
      </c>
    </row>
    <row r="44" ht="26" spans="2:23">
      <c r="B44" s="17" t="s">
        <v>5</v>
      </c>
      <c r="C44" s="9"/>
      <c r="D44" s="9">
        <v>958.2</v>
      </c>
      <c r="E44" s="9">
        <v>7767.9</v>
      </c>
      <c r="F44" s="9">
        <v>14561.6</v>
      </c>
      <c r="G44" s="9">
        <v>18382.8</v>
      </c>
      <c r="H44" s="9">
        <v>13116.4</v>
      </c>
      <c r="I44" s="9">
        <v>9281.9</v>
      </c>
      <c r="J44" s="9">
        <v>11181.7</v>
      </c>
      <c r="K44" s="9">
        <v>18255.2</v>
      </c>
      <c r="L44" s="9">
        <v>11083.6</v>
      </c>
      <c r="M44" s="9">
        <v>5887</v>
      </c>
      <c r="N44" s="9">
        <v>3462.4</v>
      </c>
      <c r="O44" s="9">
        <v>2535.8</v>
      </c>
      <c r="P44" s="9">
        <v>4696.5</v>
      </c>
      <c r="Q44" s="9">
        <v>9357.5</v>
      </c>
      <c r="R44" s="9">
        <v>8486</v>
      </c>
      <c r="S44" s="9">
        <v>3122.5</v>
      </c>
      <c r="T44" s="9"/>
      <c r="U44" s="10"/>
      <c r="V44" s="13"/>
      <c r="W44" s="12">
        <f t="shared" si="2"/>
        <v>142137</v>
      </c>
    </row>
    <row r="45" ht="26" spans="2:23">
      <c r="B45" s="17" t="s">
        <v>6</v>
      </c>
      <c r="C45" s="9"/>
      <c r="D45" s="9">
        <v>1418.5</v>
      </c>
      <c r="E45" s="9">
        <v>7866.19</v>
      </c>
      <c r="F45" s="9">
        <v>14493.67</v>
      </c>
      <c r="G45" s="9">
        <v>18578.53</v>
      </c>
      <c r="H45" s="9">
        <v>14315.64</v>
      </c>
      <c r="I45" s="9">
        <v>8322.93</v>
      </c>
      <c r="J45" s="9">
        <v>10954.27</v>
      </c>
      <c r="K45" s="9">
        <v>20116.77</v>
      </c>
      <c r="L45" s="9">
        <v>11492.37</v>
      </c>
      <c r="M45" s="9">
        <v>6575.31</v>
      </c>
      <c r="N45" s="9">
        <v>3958.32</v>
      </c>
      <c r="O45" s="9">
        <v>3278.78</v>
      </c>
      <c r="P45" s="9">
        <v>4906.09</v>
      </c>
      <c r="Q45" s="9">
        <v>8313</v>
      </c>
      <c r="R45" s="9">
        <v>8291.22</v>
      </c>
      <c r="S45" s="9">
        <v>3227.38</v>
      </c>
      <c r="T45" s="9"/>
      <c r="U45" s="10"/>
      <c r="V45" s="11"/>
      <c r="W45" s="12">
        <f t="shared" si="2"/>
        <v>146108.97</v>
      </c>
    </row>
    <row r="46" ht="26" spans="2:23">
      <c r="B46" s="17" t="s">
        <v>7</v>
      </c>
      <c r="C46" s="9">
        <v>13.52</v>
      </c>
      <c r="D46" s="9">
        <v>1475.94</v>
      </c>
      <c r="E46" s="9">
        <v>7632.51</v>
      </c>
      <c r="F46" s="9">
        <v>13902.27</v>
      </c>
      <c r="G46" s="9">
        <v>16616.1</v>
      </c>
      <c r="H46" s="9">
        <v>12763.74</v>
      </c>
      <c r="I46" s="9">
        <v>7691.63</v>
      </c>
      <c r="J46" s="9">
        <v>10073.07</v>
      </c>
      <c r="K46" s="9">
        <v>16179.05</v>
      </c>
      <c r="L46" s="9">
        <v>10730.41</v>
      </c>
      <c r="M46" s="9">
        <v>5646.02</v>
      </c>
      <c r="N46" s="9">
        <v>3527.22</v>
      </c>
      <c r="O46" s="9">
        <v>2641.83</v>
      </c>
      <c r="P46" s="9">
        <v>4309.03</v>
      </c>
      <c r="Q46" s="9">
        <v>8062.37</v>
      </c>
      <c r="R46" s="9">
        <v>7923.32</v>
      </c>
      <c r="S46" s="9">
        <v>3282.76</v>
      </c>
      <c r="T46" s="9">
        <v>12.81</v>
      </c>
      <c r="U46" s="10"/>
      <c r="V46" s="14"/>
      <c r="W46" s="12">
        <f t="shared" si="2"/>
        <v>132483.6</v>
      </c>
    </row>
    <row r="47" ht="26" spans="2:23">
      <c r="B47" s="17" t="s">
        <v>8</v>
      </c>
      <c r="C47" s="9">
        <v>443.18</v>
      </c>
      <c r="D47" s="9">
        <v>3762.58</v>
      </c>
      <c r="E47" s="9">
        <v>8442.64</v>
      </c>
      <c r="F47" s="9">
        <v>16165.99</v>
      </c>
      <c r="G47" s="9">
        <v>20833.33</v>
      </c>
      <c r="H47" s="9">
        <v>16639.07</v>
      </c>
      <c r="I47" s="9">
        <v>9471.51</v>
      </c>
      <c r="J47" s="9">
        <v>11214.89</v>
      </c>
      <c r="K47" s="9">
        <v>14673.55</v>
      </c>
      <c r="L47" s="9">
        <v>9637.16</v>
      </c>
      <c r="M47" s="9">
        <v>5967.99</v>
      </c>
      <c r="N47" s="9">
        <v>4150.02</v>
      </c>
      <c r="O47" s="9">
        <v>2903.66</v>
      </c>
      <c r="P47" s="9">
        <v>5059.6</v>
      </c>
      <c r="Q47" s="9">
        <v>8694.95</v>
      </c>
      <c r="R47" s="9">
        <v>8634.09</v>
      </c>
      <c r="S47" s="9">
        <v>2805.73</v>
      </c>
      <c r="T47" s="9"/>
      <c r="U47" s="9"/>
      <c r="V47" s="9"/>
      <c r="W47" s="12">
        <f t="shared" si="2"/>
        <v>149499.94</v>
      </c>
    </row>
    <row r="48" ht="26" spans="2:23">
      <c r="B48" s="17" t="s">
        <v>9</v>
      </c>
      <c r="C48" s="9">
        <v>607.05</v>
      </c>
      <c r="D48" s="9">
        <v>2476.17</v>
      </c>
      <c r="E48" s="9">
        <v>9309.5</v>
      </c>
      <c r="F48" s="9">
        <v>18490.87</v>
      </c>
      <c r="G48" s="9">
        <v>23308.73</v>
      </c>
      <c r="H48" s="9">
        <v>19779</v>
      </c>
      <c r="I48" s="9">
        <v>12081.35</v>
      </c>
      <c r="J48" s="9">
        <v>13619.21</v>
      </c>
      <c r="K48" s="9">
        <v>15832.78</v>
      </c>
      <c r="L48" s="9">
        <v>9345.67</v>
      </c>
      <c r="M48" s="9">
        <v>6783.12</v>
      </c>
      <c r="N48" s="9">
        <v>4313.34</v>
      </c>
      <c r="O48" s="9">
        <v>3568.32</v>
      </c>
      <c r="P48" s="9">
        <v>5387.27</v>
      </c>
      <c r="Q48" s="9">
        <v>9674.17</v>
      </c>
      <c r="R48" s="9">
        <v>8646.08</v>
      </c>
      <c r="S48" s="9">
        <v>2230.78</v>
      </c>
      <c r="T48" s="9"/>
      <c r="U48" s="9"/>
      <c r="V48" s="9"/>
      <c r="W48" s="12">
        <f t="shared" si="2"/>
        <v>165453.41</v>
      </c>
    </row>
    <row r="49" ht="26" spans="2:23">
      <c r="B49" s="17" t="s">
        <v>10</v>
      </c>
      <c r="C49" s="9">
        <v>101.38</v>
      </c>
      <c r="D49" s="9">
        <v>1126.32</v>
      </c>
      <c r="E49" s="9">
        <v>8223.79</v>
      </c>
      <c r="F49" s="9">
        <v>16591</v>
      </c>
      <c r="G49" s="9">
        <v>19717.15</v>
      </c>
      <c r="H49" s="9">
        <v>13565.96</v>
      </c>
      <c r="I49" s="9">
        <v>8421.67</v>
      </c>
      <c r="J49" s="9">
        <v>10996.65</v>
      </c>
      <c r="K49" s="9">
        <v>14853.88</v>
      </c>
      <c r="L49" s="9">
        <v>9868.9</v>
      </c>
      <c r="M49" s="9">
        <v>5641.75</v>
      </c>
      <c r="N49" s="9">
        <v>3218.35</v>
      </c>
      <c r="O49" s="9">
        <v>3169.94</v>
      </c>
      <c r="P49" s="9">
        <v>5013.35</v>
      </c>
      <c r="Q49" s="9">
        <v>9245.25</v>
      </c>
      <c r="R49" s="9">
        <v>6964.9</v>
      </c>
      <c r="S49" s="9">
        <v>1859.02</v>
      </c>
      <c r="T49" s="10"/>
      <c r="U49" s="10"/>
      <c r="V49" s="14"/>
      <c r="W49" s="12">
        <f t="shared" si="2"/>
        <v>138579.26</v>
      </c>
    </row>
    <row r="50" ht="26" spans="2:23">
      <c r="B50" s="17" t="s">
        <v>11</v>
      </c>
      <c r="C50" s="9">
        <v>75.17</v>
      </c>
      <c r="D50" s="9">
        <v>1000.97</v>
      </c>
      <c r="E50" s="9">
        <v>8368.09</v>
      </c>
      <c r="F50" s="9">
        <v>17943.07</v>
      </c>
      <c r="G50" s="9">
        <v>22868.92</v>
      </c>
      <c r="H50" s="9">
        <v>18966.9</v>
      </c>
      <c r="I50" s="9">
        <v>11123.1</v>
      </c>
      <c r="J50" s="9">
        <v>16554.19</v>
      </c>
      <c r="K50" s="9">
        <v>17744.64</v>
      </c>
      <c r="L50" s="9">
        <v>11505.86</v>
      </c>
      <c r="M50" s="9">
        <v>7081.97</v>
      </c>
      <c r="N50" s="9">
        <v>4206.85</v>
      </c>
      <c r="O50" s="9">
        <v>4255.3</v>
      </c>
      <c r="P50" s="9">
        <v>6982.5</v>
      </c>
      <c r="Q50" s="9">
        <v>10842.11</v>
      </c>
      <c r="R50" s="9">
        <v>7147.82</v>
      </c>
      <c r="S50" s="9">
        <v>1840.12</v>
      </c>
      <c r="T50" s="10"/>
      <c r="U50" s="10"/>
      <c r="V50" s="14"/>
      <c r="W50" s="12">
        <f t="shared" si="2"/>
        <v>168507.58</v>
      </c>
    </row>
    <row r="51" ht="26" spans="2:23">
      <c r="B51" s="1" t="s">
        <v>12</v>
      </c>
      <c r="C51" s="9">
        <v>72.91</v>
      </c>
      <c r="D51" s="9">
        <v>1233.28</v>
      </c>
      <c r="E51" s="9">
        <v>6709.24</v>
      </c>
      <c r="F51" s="9">
        <v>16394.11</v>
      </c>
      <c r="G51" s="9">
        <v>22539.65</v>
      </c>
      <c r="H51" s="9">
        <v>17219.76</v>
      </c>
      <c r="I51" s="9">
        <v>9789.21</v>
      </c>
      <c r="J51" s="9">
        <v>14445.19</v>
      </c>
      <c r="K51" s="9">
        <v>16749.47</v>
      </c>
      <c r="L51" s="9">
        <v>10869.21</v>
      </c>
      <c r="M51" s="9">
        <v>6826.29</v>
      </c>
      <c r="N51" s="9">
        <v>4457.63</v>
      </c>
      <c r="O51" s="9">
        <v>3475.47</v>
      </c>
      <c r="P51" s="9">
        <v>6158.49</v>
      </c>
      <c r="Q51" s="9">
        <v>9578.48</v>
      </c>
      <c r="R51" s="9">
        <v>6475.69</v>
      </c>
      <c r="S51" s="9">
        <v>1403.63</v>
      </c>
      <c r="T51" s="10"/>
      <c r="U51" s="10"/>
      <c r="V51" s="14"/>
      <c r="W51" s="12">
        <f t="shared" si="2"/>
        <v>154397.71</v>
      </c>
    </row>
    <row r="52" ht="26" spans="2:23">
      <c r="B52" s="1" t="s">
        <v>13</v>
      </c>
      <c r="C52" s="16">
        <v>40.53</v>
      </c>
      <c r="D52" s="16">
        <v>965.82</v>
      </c>
      <c r="E52" s="16">
        <v>8160.27</v>
      </c>
      <c r="F52" s="21">
        <v>18875.99</v>
      </c>
      <c r="G52" s="21">
        <v>25403.63</v>
      </c>
      <c r="H52" s="16">
        <v>18909.03</v>
      </c>
      <c r="I52" s="16">
        <v>12340.36</v>
      </c>
      <c r="J52" s="21">
        <v>18048.83</v>
      </c>
      <c r="K52" s="21">
        <v>19069.77</v>
      </c>
      <c r="L52" s="21">
        <v>13404.23</v>
      </c>
      <c r="M52" s="16">
        <v>8354.58</v>
      </c>
      <c r="N52" s="16">
        <v>5933.49</v>
      </c>
      <c r="O52" s="16">
        <v>4002.98</v>
      </c>
      <c r="P52" s="16">
        <v>7746.63</v>
      </c>
      <c r="Q52" s="16">
        <v>10809.67</v>
      </c>
      <c r="R52" s="16">
        <v>7513.09</v>
      </c>
      <c r="S52" s="22">
        <v>1464.18</v>
      </c>
      <c r="T52" s="10"/>
      <c r="U52" s="10"/>
      <c r="V52" s="16"/>
      <c r="W52" s="12">
        <f t="shared" si="2"/>
        <v>181043.08</v>
      </c>
    </row>
    <row r="57" ht="26" spans="2:23">
      <c r="B57" s="17" t="s">
        <v>202</v>
      </c>
      <c r="C57" s="2" t="s">
        <v>54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31" spans="2:23">
      <c r="B58" s="19"/>
      <c r="C58" s="4" t="s">
        <v>205</v>
      </c>
      <c r="D58" s="4" t="s">
        <v>208</v>
      </c>
      <c r="E58" s="4" t="s">
        <v>210</v>
      </c>
      <c r="F58" s="4" t="s">
        <v>212</v>
      </c>
      <c r="G58" s="4" t="s">
        <v>214</v>
      </c>
      <c r="H58" s="4" t="s">
        <v>216</v>
      </c>
      <c r="I58" s="4" t="s">
        <v>218</v>
      </c>
      <c r="J58" s="4" t="s">
        <v>220</v>
      </c>
      <c r="K58" s="4" t="s">
        <v>222</v>
      </c>
      <c r="L58" s="4" t="s">
        <v>224</v>
      </c>
      <c r="M58" s="4" t="s">
        <v>226</v>
      </c>
      <c r="N58" s="4" t="s">
        <v>228</v>
      </c>
      <c r="O58" s="4" t="s">
        <v>230</v>
      </c>
      <c r="P58" s="4" t="s">
        <v>232</v>
      </c>
      <c r="Q58" s="4" t="s">
        <v>234</v>
      </c>
      <c r="R58" s="4" t="s">
        <v>236</v>
      </c>
      <c r="S58" s="4" t="s">
        <v>238</v>
      </c>
      <c r="T58" s="5" t="s">
        <v>240</v>
      </c>
      <c r="U58" s="4" t="s">
        <v>242</v>
      </c>
      <c r="V58" s="4" t="s">
        <v>244</v>
      </c>
      <c r="W58" s="6" t="s">
        <v>246</v>
      </c>
    </row>
    <row r="59" ht="26" spans="2:23">
      <c r="B59" s="17" t="s">
        <v>203</v>
      </c>
      <c r="C59" s="7" t="s">
        <v>206</v>
      </c>
      <c r="D59" s="8" t="s">
        <v>209</v>
      </c>
      <c r="E59" s="8" t="s">
        <v>211</v>
      </c>
      <c r="F59" s="8" t="s">
        <v>213</v>
      </c>
      <c r="G59" s="8" t="s">
        <v>215</v>
      </c>
      <c r="H59" s="8" t="s">
        <v>217</v>
      </c>
      <c r="I59" s="8" t="s">
        <v>219</v>
      </c>
      <c r="J59" s="8" t="s">
        <v>221</v>
      </c>
      <c r="K59" s="8" t="s">
        <v>223</v>
      </c>
      <c r="L59" s="8" t="s">
        <v>225</v>
      </c>
      <c r="M59" s="8" t="s">
        <v>227</v>
      </c>
      <c r="N59" s="8" t="s">
        <v>229</v>
      </c>
      <c r="O59" s="8" t="s">
        <v>231</v>
      </c>
      <c r="P59" s="8" t="s">
        <v>233</v>
      </c>
      <c r="Q59" s="8" t="s">
        <v>235</v>
      </c>
      <c r="R59" s="8" t="s">
        <v>237</v>
      </c>
      <c r="S59" s="8" t="s">
        <v>239</v>
      </c>
      <c r="T59" s="8" t="s">
        <v>241</v>
      </c>
      <c r="U59" s="8" t="s">
        <v>243</v>
      </c>
      <c r="V59" s="8" t="s">
        <v>245</v>
      </c>
      <c r="W59" s="8"/>
    </row>
    <row r="60" ht="26" spans="2:23">
      <c r="B60" s="17" t="s">
        <v>2</v>
      </c>
      <c r="C60" s="9"/>
      <c r="D60" s="9">
        <v>29</v>
      </c>
      <c r="E60" s="9">
        <v>1234.89</v>
      </c>
      <c r="F60" s="9">
        <v>5957.67</v>
      </c>
      <c r="G60" s="9">
        <v>13426.6</v>
      </c>
      <c r="H60" s="9">
        <v>12045.56</v>
      </c>
      <c r="I60" s="9">
        <v>9139.98</v>
      </c>
      <c r="J60" s="9">
        <v>7388.46</v>
      </c>
      <c r="K60" s="9">
        <v>8697</v>
      </c>
      <c r="L60" s="9">
        <v>4873</v>
      </c>
      <c r="M60" s="9">
        <v>3601.7</v>
      </c>
      <c r="N60" s="9">
        <v>2387</v>
      </c>
      <c r="O60" s="9">
        <v>2684.33</v>
      </c>
      <c r="P60" s="9">
        <v>4436.93</v>
      </c>
      <c r="Q60" s="9">
        <v>3314.56</v>
      </c>
      <c r="R60" s="9">
        <v>2127</v>
      </c>
      <c r="S60" s="9">
        <v>564</v>
      </c>
      <c r="T60" s="9"/>
      <c r="U60" s="10"/>
      <c r="V60" s="11"/>
      <c r="W60" s="12">
        <f t="shared" ref="W60:W71" si="3">SUM(C60:V60)</f>
        <v>81907.68</v>
      </c>
    </row>
    <row r="61" ht="26" spans="2:23">
      <c r="B61" s="17" t="s">
        <v>3</v>
      </c>
      <c r="C61" s="9"/>
      <c r="D61" s="9">
        <v>24</v>
      </c>
      <c r="E61" s="9">
        <v>1403</v>
      </c>
      <c r="F61" s="9">
        <v>5920.34</v>
      </c>
      <c r="G61" s="9">
        <v>12838.86</v>
      </c>
      <c r="H61" s="9">
        <v>11265.1</v>
      </c>
      <c r="I61" s="9">
        <v>7771.69</v>
      </c>
      <c r="J61" s="9">
        <v>6535.44</v>
      </c>
      <c r="K61" s="9">
        <v>6920.33</v>
      </c>
      <c r="L61" s="9">
        <v>4831</v>
      </c>
      <c r="M61" s="9">
        <v>3581.47</v>
      </c>
      <c r="N61" s="9">
        <v>2466.36</v>
      </c>
      <c r="O61" s="9">
        <v>2172</v>
      </c>
      <c r="P61" s="9">
        <v>3719</v>
      </c>
      <c r="Q61" s="9">
        <v>2669</v>
      </c>
      <c r="R61" s="9">
        <v>1636</v>
      </c>
      <c r="S61" s="9">
        <v>348</v>
      </c>
      <c r="T61" s="9"/>
      <c r="U61" s="10"/>
      <c r="V61" s="13"/>
      <c r="W61" s="12">
        <f t="shared" si="3"/>
        <v>74101.59</v>
      </c>
    </row>
    <row r="62" ht="26" spans="2:23">
      <c r="B62" s="17" t="s">
        <v>4</v>
      </c>
      <c r="C62" s="9"/>
      <c r="D62" s="9">
        <v>49</v>
      </c>
      <c r="E62" s="9">
        <v>1953.6</v>
      </c>
      <c r="F62" s="9">
        <v>8635.13</v>
      </c>
      <c r="G62" s="9">
        <v>13759.61</v>
      </c>
      <c r="H62" s="9">
        <v>9908.44</v>
      </c>
      <c r="I62" s="9">
        <v>5895.7</v>
      </c>
      <c r="J62" s="9">
        <v>5937.84</v>
      </c>
      <c r="K62" s="9">
        <v>6733.55</v>
      </c>
      <c r="L62" s="9">
        <v>3231.8</v>
      </c>
      <c r="M62" s="9">
        <v>2696.6</v>
      </c>
      <c r="N62" s="9">
        <v>1686.06</v>
      </c>
      <c r="O62" s="9">
        <v>1854.7</v>
      </c>
      <c r="P62" s="9">
        <v>3972.6</v>
      </c>
      <c r="Q62" s="9">
        <v>2974.97</v>
      </c>
      <c r="R62" s="9">
        <v>2146.6</v>
      </c>
      <c r="S62" s="9">
        <v>364</v>
      </c>
      <c r="T62" s="9">
        <v>6</v>
      </c>
      <c r="U62" s="10"/>
      <c r="V62" s="13"/>
      <c r="W62" s="12">
        <f t="shared" si="3"/>
        <v>71806.2</v>
      </c>
    </row>
    <row r="63" ht="26" spans="2:23">
      <c r="B63" s="17" t="s">
        <v>5</v>
      </c>
      <c r="C63" s="9"/>
      <c r="D63" s="9">
        <v>102</v>
      </c>
      <c r="E63" s="9">
        <v>2830.3</v>
      </c>
      <c r="F63" s="9">
        <v>9192.14</v>
      </c>
      <c r="G63" s="9">
        <v>14393.54</v>
      </c>
      <c r="H63" s="9">
        <v>8987.52</v>
      </c>
      <c r="I63" s="9">
        <v>5247.2</v>
      </c>
      <c r="J63" s="9">
        <v>4795.17</v>
      </c>
      <c r="K63" s="9">
        <v>5978.58</v>
      </c>
      <c r="L63" s="9">
        <v>3271.2</v>
      </c>
      <c r="M63" s="9">
        <v>2278.6</v>
      </c>
      <c r="N63" s="9">
        <v>1241</v>
      </c>
      <c r="O63" s="9">
        <v>1807.26</v>
      </c>
      <c r="P63" s="9">
        <v>3748.28</v>
      </c>
      <c r="Q63" s="9">
        <v>3155.8</v>
      </c>
      <c r="R63" s="9">
        <v>2218.29</v>
      </c>
      <c r="S63" s="9">
        <v>606.5</v>
      </c>
      <c r="T63" s="9"/>
      <c r="U63" s="10"/>
      <c r="V63" s="13"/>
      <c r="W63" s="12">
        <f t="shared" si="3"/>
        <v>69853.38</v>
      </c>
    </row>
    <row r="64" ht="26" spans="2:23">
      <c r="B64" s="17" t="s">
        <v>6</v>
      </c>
      <c r="C64" s="9"/>
      <c r="D64" s="9">
        <v>319.09</v>
      </c>
      <c r="E64" s="9">
        <v>3532.97</v>
      </c>
      <c r="F64" s="9">
        <v>10674.82</v>
      </c>
      <c r="G64" s="9">
        <v>16101.75</v>
      </c>
      <c r="H64" s="9">
        <v>11566.21</v>
      </c>
      <c r="I64" s="9">
        <v>6147.42</v>
      </c>
      <c r="J64" s="9">
        <v>5484.96</v>
      </c>
      <c r="K64" s="9">
        <v>6011.65</v>
      </c>
      <c r="L64" s="9">
        <v>3236.08</v>
      </c>
      <c r="M64" s="9">
        <v>2741.7</v>
      </c>
      <c r="N64" s="9">
        <v>1407.65</v>
      </c>
      <c r="O64" s="9">
        <v>1802.02</v>
      </c>
      <c r="P64" s="9">
        <v>4554.28</v>
      </c>
      <c r="Q64" s="9">
        <v>3850.64</v>
      </c>
      <c r="R64" s="9">
        <v>2247.95</v>
      </c>
      <c r="S64" s="9">
        <v>886.22</v>
      </c>
      <c r="T64" s="9"/>
      <c r="U64" s="10"/>
      <c r="V64" s="11"/>
      <c r="W64" s="12">
        <f t="shared" si="3"/>
        <v>80565.41</v>
      </c>
    </row>
    <row r="65" ht="26" spans="2:23">
      <c r="B65" s="17" t="s">
        <v>7</v>
      </c>
      <c r="C65" s="9"/>
      <c r="D65" s="9">
        <v>241.49</v>
      </c>
      <c r="E65" s="9">
        <v>3288.21</v>
      </c>
      <c r="F65" s="9">
        <v>9683.76</v>
      </c>
      <c r="G65" s="9">
        <v>13267.03</v>
      </c>
      <c r="H65" s="9">
        <v>10981.73</v>
      </c>
      <c r="I65" s="9">
        <v>5700.56</v>
      </c>
      <c r="J65" s="9">
        <v>5859.14</v>
      </c>
      <c r="K65" s="9">
        <v>5562.62</v>
      </c>
      <c r="L65" s="9">
        <v>3794.87</v>
      </c>
      <c r="M65" s="9">
        <v>2293.2</v>
      </c>
      <c r="N65" s="9">
        <v>1552.54</v>
      </c>
      <c r="O65" s="9">
        <v>1883.27</v>
      </c>
      <c r="P65" s="9">
        <v>4007.71</v>
      </c>
      <c r="Q65" s="9">
        <v>3810.24</v>
      </c>
      <c r="R65" s="9">
        <v>2452.65</v>
      </c>
      <c r="S65" s="9">
        <v>966.12</v>
      </c>
      <c r="T65" s="9">
        <v>2.3</v>
      </c>
      <c r="U65" s="10"/>
      <c r="V65" s="14"/>
      <c r="W65" s="12">
        <f t="shared" si="3"/>
        <v>75347.44</v>
      </c>
    </row>
    <row r="66" ht="26" spans="2:23">
      <c r="B66" s="17" t="s">
        <v>8</v>
      </c>
      <c r="C66" s="9"/>
      <c r="D66" s="9">
        <v>273.77</v>
      </c>
      <c r="E66" s="9">
        <v>3361.25</v>
      </c>
      <c r="F66" s="9">
        <v>11591.12</v>
      </c>
      <c r="G66" s="9">
        <v>14856.82</v>
      </c>
      <c r="H66" s="9">
        <v>12121.93</v>
      </c>
      <c r="I66" s="9">
        <v>7261.78</v>
      </c>
      <c r="J66" s="9">
        <v>6637.82</v>
      </c>
      <c r="K66" s="9">
        <v>6228.04</v>
      </c>
      <c r="L66" s="9">
        <v>3299.4</v>
      </c>
      <c r="M66" s="9">
        <v>2520.72</v>
      </c>
      <c r="N66" s="9">
        <v>1657.4</v>
      </c>
      <c r="O66" s="9">
        <v>2120.01</v>
      </c>
      <c r="P66" s="9">
        <v>4087.63</v>
      </c>
      <c r="Q66" s="9">
        <v>3987.48</v>
      </c>
      <c r="R66" s="9">
        <v>3305.85</v>
      </c>
      <c r="S66" s="9">
        <v>1417.76</v>
      </c>
      <c r="T66" s="9">
        <v>41</v>
      </c>
      <c r="U66" s="9"/>
      <c r="V66" s="9"/>
      <c r="W66" s="12">
        <f t="shared" si="3"/>
        <v>84769.78</v>
      </c>
    </row>
    <row r="67" ht="26" spans="2:23">
      <c r="B67" s="17" t="s">
        <v>9</v>
      </c>
      <c r="C67" s="9"/>
      <c r="D67" s="9">
        <v>390.4</v>
      </c>
      <c r="E67" s="9">
        <v>2793.7</v>
      </c>
      <c r="F67" s="9">
        <v>10596.68</v>
      </c>
      <c r="G67" s="9">
        <v>15921.04</v>
      </c>
      <c r="H67" s="9">
        <v>13071.76</v>
      </c>
      <c r="I67" s="9">
        <v>7088.52</v>
      </c>
      <c r="J67" s="9">
        <v>6903.83</v>
      </c>
      <c r="K67" s="9">
        <v>6064.62</v>
      </c>
      <c r="L67" s="9">
        <v>3856.18</v>
      </c>
      <c r="M67" s="9">
        <v>2493.85</v>
      </c>
      <c r="N67" s="9">
        <v>2021.15</v>
      </c>
      <c r="O67" s="9">
        <v>2528.55</v>
      </c>
      <c r="P67" s="9">
        <v>5051.28</v>
      </c>
      <c r="Q67" s="9">
        <v>4163.65</v>
      </c>
      <c r="R67" s="9">
        <v>3187.4</v>
      </c>
      <c r="S67" s="9">
        <v>1210.1</v>
      </c>
      <c r="T67" s="9">
        <v>16</v>
      </c>
      <c r="U67" s="9"/>
      <c r="V67" s="9"/>
      <c r="W67" s="12">
        <f t="shared" si="3"/>
        <v>87358.71</v>
      </c>
    </row>
    <row r="68" ht="26" spans="2:23">
      <c r="B68" s="17" t="s">
        <v>10</v>
      </c>
      <c r="C68" s="14">
        <v>55.83</v>
      </c>
      <c r="D68" s="9">
        <v>402.58</v>
      </c>
      <c r="E68" s="9">
        <v>5001.78</v>
      </c>
      <c r="F68" s="9">
        <v>11753.65</v>
      </c>
      <c r="G68" s="9">
        <v>16029.97</v>
      </c>
      <c r="H68" s="9">
        <v>10584.53</v>
      </c>
      <c r="I68" s="9">
        <v>5750.12</v>
      </c>
      <c r="J68" s="9">
        <v>6468.38</v>
      </c>
      <c r="K68" s="9">
        <v>7469.75</v>
      </c>
      <c r="L68" s="9">
        <v>4036.85</v>
      </c>
      <c r="M68" s="9">
        <v>2994.6</v>
      </c>
      <c r="N68" s="9">
        <v>1870.8</v>
      </c>
      <c r="O68" s="9">
        <v>2504.02</v>
      </c>
      <c r="P68" s="9">
        <v>5478.84</v>
      </c>
      <c r="Q68" s="9">
        <v>5043.19</v>
      </c>
      <c r="R68" s="9">
        <v>2559.45</v>
      </c>
      <c r="S68" s="9">
        <v>758.71</v>
      </c>
      <c r="T68" s="9">
        <v>4.31</v>
      </c>
      <c r="U68" s="9">
        <v>19.27</v>
      </c>
      <c r="V68" s="14"/>
      <c r="W68" s="12">
        <f t="shared" si="3"/>
        <v>88786.63</v>
      </c>
    </row>
    <row r="69" ht="26" spans="2:23">
      <c r="B69" s="17" t="s">
        <v>11</v>
      </c>
      <c r="C69" s="14">
        <v>204.18</v>
      </c>
      <c r="D69" s="9">
        <v>221.22</v>
      </c>
      <c r="E69" s="9">
        <v>3472.51</v>
      </c>
      <c r="F69" s="9">
        <v>12794.23</v>
      </c>
      <c r="G69" s="9">
        <v>19438.08</v>
      </c>
      <c r="H69" s="9">
        <v>13388.09</v>
      </c>
      <c r="I69" s="9">
        <v>7972.76</v>
      </c>
      <c r="J69" s="9">
        <v>8207.75</v>
      </c>
      <c r="K69" s="9">
        <v>8002.94</v>
      </c>
      <c r="L69" s="9">
        <v>5227.7</v>
      </c>
      <c r="M69" s="9">
        <v>3253.9</v>
      </c>
      <c r="N69" s="9">
        <v>1869.16</v>
      </c>
      <c r="O69" s="9">
        <v>3064.84</v>
      </c>
      <c r="P69" s="9">
        <v>6265.9</v>
      </c>
      <c r="Q69" s="9">
        <v>4816.94</v>
      </c>
      <c r="R69" s="9">
        <v>2437.55</v>
      </c>
      <c r="S69" s="9">
        <v>379.28</v>
      </c>
      <c r="T69" s="10"/>
      <c r="U69" s="10"/>
      <c r="V69" s="14"/>
      <c r="W69" s="12">
        <f t="shared" si="3"/>
        <v>101017.03</v>
      </c>
    </row>
    <row r="70" ht="26" spans="2:23">
      <c r="B70" s="1" t="s">
        <v>12</v>
      </c>
      <c r="C70" s="9">
        <v>83.06</v>
      </c>
      <c r="D70" s="9">
        <v>181.24</v>
      </c>
      <c r="E70" s="9">
        <v>2985.74</v>
      </c>
      <c r="F70" s="9">
        <v>10589.69</v>
      </c>
      <c r="G70" s="9">
        <v>19495.13</v>
      </c>
      <c r="H70" s="9">
        <v>13924.85</v>
      </c>
      <c r="I70" s="9">
        <v>7311.22</v>
      </c>
      <c r="J70" s="9">
        <v>8643.06</v>
      </c>
      <c r="K70" s="9">
        <v>9045.11</v>
      </c>
      <c r="L70" s="9">
        <v>5851.2</v>
      </c>
      <c r="M70" s="9">
        <v>3626.05</v>
      </c>
      <c r="N70" s="9">
        <v>2189.05</v>
      </c>
      <c r="O70" s="9">
        <v>2553.77</v>
      </c>
      <c r="P70" s="9">
        <v>6294.99</v>
      </c>
      <c r="Q70" s="9">
        <v>5283.91</v>
      </c>
      <c r="R70" s="9">
        <v>2632.68</v>
      </c>
      <c r="S70" s="9">
        <v>324.8</v>
      </c>
      <c r="T70" s="10"/>
      <c r="U70" s="10"/>
      <c r="V70" s="14"/>
      <c r="W70" s="12">
        <f t="shared" si="3"/>
        <v>101015.55</v>
      </c>
    </row>
    <row r="71" ht="26" spans="2:23">
      <c r="B71" s="1" t="s">
        <v>13</v>
      </c>
      <c r="C71" s="9">
        <v>71.28</v>
      </c>
      <c r="D71" s="9">
        <v>399.27</v>
      </c>
      <c r="E71" s="9">
        <v>2469.05</v>
      </c>
      <c r="F71" s="15">
        <v>12717.64</v>
      </c>
      <c r="G71" s="15">
        <v>22927.89</v>
      </c>
      <c r="H71" s="15">
        <v>17322.91</v>
      </c>
      <c r="I71" s="15">
        <v>9743.45</v>
      </c>
      <c r="J71" s="15">
        <v>10690.34</v>
      </c>
      <c r="K71" s="15">
        <v>9846.96</v>
      </c>
      <c r="L71" s="15">
        <v>7006.02</v>
      </c>
      <c r="M71" s="15">
        <v>4412.6</v>
      </c>
      <c r="N71" s="15">
        <v>2950.65</v>
      </c>
      <c r="O71" s="15">
        <v>3880.63</v>
      </c>
      <c r="P71" s="15">
        <v>6840.97</v>
      </c>
      <c r="Q71" s="9">
        <v>5668.37</v>
      </c>
      <c r="R71" s="9">
        <v>3199.91</v>
      </c>
      <c r="S71" s="9">
        <v>299.86</v>
      </c>
      <c r="T71" s="10"/>
      <c r="U71" s="10"/>
      <c r="V71" s="16"/>
      <c r="W71" s="12">
        <f t="shared" si="3"/>
        <v>120447.8</v>
      </c>
    </row>
    <row r="75" ht="26" spans="2:23">
      <c r="B75" s="1" t="s">
        <v>202</v>
      </c>
      <c r="C75" s="2" t="s">
        <v>207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31" spans="2:23">
      <c r="B76" s="3"/>
      <c r="C76" s="4" t="s">
        <v>205</v>
      </c>
      <c r="D76" s="4" t="s">
        <v>208</v>
      </c>
      <c r="E76" s="4" t="s">
        <v>210</v>
      </c>
      <c r="F76" s="4" t="s">
        <v>212</v>
      </c>
      <c r="G76" s="4" t="s">
        <v>214</v>
      </c>
      <c r="H76" s="4" t="s">
        <v>216</v>
      </c>
      <c r="I76" s="4" t="s">
        <v>218</v>
      </c>
      <c r="J76" s="4" t="s">
        <v>220</v>
      </c>
      <c r="K76" s="4" t="s">
        <v>222</v>
      </c>
      <c r="L76" s="4" t="s">
        <v>224</v>
      </c>
      <c r="M76" s="4" t="s">
        <v>226</v>
      </c>
      <c r="N76" s="4" t="s">
        <v>228</v>
      </c>
      <c r="O76" s="4" t="s">
        <v>230</v>
      </c>
      <c r="P76" s="4" t="s">
        <v>232</v>
      </c>
      <c r="Q76" s="4" t="s">
        <v>234</v>
      </c>
      <c r="R76" s="4" t="s">
        <v>236</v>
      </c>
      <c r="S76" s="4" t="s">
        <v>238</v>
      </c>
      <c r="T76" s="5" t="s">
        <v>240</v>
      </c>
      <c r="U76" s="4" t="s">
        <v>242</v>
      </c>
      <c r="V76" s="4" t="s">
        <v>244</v>
      </c>
      <c r="W76" s="6" t="s">
        <v>246</v>
      </c>
    </row>
    <row r="77" ht="26" spans="2:23">
      <c r="B77" s="1" t="s">
        <v>203</v>
      </c>
      <c r="C77" s="7" t="s">
        <v>206</v>
      </c>
      <c r="D77" s="8" t="s">
        <v>209</v>
      </c>
      <c r="E77" s="8" t="s">
        <v>211</v>
      </c>
      <c r="F77" s="8" t="s">
        <v>213</v>
      </c>
      <c r="G77" s="8" t="s">
        <v>215</v>
      </c>
      <c r="H77" s="8" t="s">
        <v>217</v>
      </c>
      <c r="I77" s="8" t="s">
        <v>219</v>
      </c>
      <c r="J77" s="8" t="s">
        <v>221</v>
      </c>
      <c r="K77" s="8" t="s">
        <v>223</v>
      </c>
      <c r="L77" s="8" t="s">
        <v>225</v>
      </c>
      <c r="M77" s="8" t="s">
        <v>227</v>
      </c>
      <c r="N77" s="8" t="s">
        <v>229</v>
      </c>
      <c r="O77" s="8" t="s">
        <v>231</v>
      </c>
      <c r="P77" s="8" t="s">
        <v>233</v>
      </c>
      <c r="Q77" s="8" t="s">
        <v>235</v>
      </c>
      <c r="R77" s="8" t="s">
        <v>237</v>
      </c>
      <c r="S77" s="8" t="s">
        <v>239</v>
      </c>
      <c r="T77" s="8" t="s">
        <v>241</v>
      </c>
      <c r="U77" s="8" t="s">
        <v>243</v>
      </c>
      <c r="V77" s="8" t="s">
        <v>245</v>
      </c>
      <c r="W77" s="8"/>
    </row>
    <row r="78" ht="26" spans="2:23">
      <c r="B78" s="1" t="s">
        <v>2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10"/>
      <c r="V78" s="11"/>
      <c r="W78" s="12">
        <f t="shared" ref="W78:W89" si="4">SUM(C78:V78)</f>
        <v>0</v>
      </c>
    </row>
    <row r="79" ht="26" spans="2:23">
      <c r="B79" s="1" t="s">
        <v>3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10"/>
      <c r="V79" s="13"/>
      <c r="W79" s="12">
        <f t="shared" si="4"/>
        <v>0</v>
      </c>
    </row>
    <row r="80" ht="26" spans="2:23">
      <c r="B80" s="1" t="s">
        <v>4</v>
      </c>
      <c r="C80" s="9"/>
      <c r="D80" s="9"/>
      <c r="E80" s="9">
        <v>1264.6</v>
      </c>
      <c r="F80" s="9">
        <v>4897.3</v>
      </c>
      <c r="G80" s="9">
        <v>7671</v>
      </c>
      <c r="H80" s="9">
        <v>3978</v>
      </c>
      <c r="I80" s="9">
        <v>1992.2</v>
      </c>
      <c r="J80" s="9">
        <v>4160.4</v>
      </c>
      <c r="K80" s="9">
        <v>6061.1</v>
      </c>
      <c r="L80" s="9">
        <v>1794.3</v>
      </c>
      <c r="M80" s="9">
        <v>947.4</v>
      </c>
      <c r="N80" s="9">
        <v>937.9</v>
      </c>
      <c r="O80" s="9">
        <v>532.7</v>
      </c>
      <c r="P80" s="9">
        <v>2328.4</v>
      </c>
      <c r="Q80" s="9">
        <v>2173.2</v>
      </c>
      <c r="R80" s="9">
        <v>2906.1</v>
      </c>
      <c r="S80" s="9">
        <v>174</v>
      </c>
      <c r="T80" s="9"/>
      <c r="U80" s="10"/>
      <c r="V80" s="13"/>
      <c r="W80" s="12">
        <f t="shared" si="4"/>
        <v>41818.6</v>
      </c>
    </row>
    <row r="81" ht="26" spans="2:23">
      <c r="B81" s="1" t="s">
        <v>5</v>
      </c>
      <c r="C81" s="9"/>
      <c r="D81" s="9">
        <v>114</v>
      </c>
      <c r="E81" s="9">
        <v>4186.6</v>
      </c>
      <c r="F81" s="9">
        <v>15761.6</v>
      </c>
      <c r="G81" s="9">
        <v>23156.9</v>
      </c>
      <c r="H81" s="9">
        <v>12030.2</v>
      </c>
      <c r="I81" s="9">
        <v>5934</v>
      </c>
      <c r="J81" s="9">
        <v>10335</v>
      </c>
      <c r="K81" s="9">
        <v>21336.7</v>
      </c>
      <c r="L81" s="9">
        <v>6621.4</v>
      </c>
      <c r="M81" s="9">
        <v>3646.4</v>
      </c>
      <c r="N81" s="9">
        <v>2139.6</v>
      </c>
      <c r="O81" s="9">
        <v>1845.5</v>
      </c>
      <c r="P81" s="9">
        <v>5714.4</v>
      </c>
      <c r="Q81" s="9">
        <v>7752.8</v>
      </c>
      <c r="R81" s="9">
        <v>5141.8</v>
      </c>
      <c r="S81" s="9">
        <v>1742.1</v>
      </c>
      <c r="T81" s="9"/>
      <c r="U81" s="10"/>
      <c r="V81" s="13"/>
      <c r="W81" s="12">
        <f t="shared" si="4"/>
        <v>127459</v>
      </c>
    </row>
    <row r="82" ht="26" spans="2:23">
      <c r="B82" s="1" t="s">
        <v>6</v>
      </c>
      <c r="C82" s="9"/>
      <c r="D82" s="9">
        <v>210</v>
      </c>
      <c r="E82" s="9">
        <v>4445.1</v>
      </c>
      <c r="F82" s="9">
        <v>14560.32</v>
      </c>
      <c r="G82" s="9">
        <v>20848.54</v>
      </c>
      <c r="H82" s="9">
        <v>10980.3</v>
      </c>
      <c r="I82" s="9">
        <v>5548.84</v>
      </c>
      <c r="J82" s="9">
        <v>10271.8</v>
      </c>
      <c r="K82" s="9">
        <v>19676.3</v>
      </c>
      <c r="L82" s="9">
        <v>6507.8</v>
      </c>
      <c r="M82" s="9">
        <v>2932.01</v>
      </c>
      <c r="N82" s="9">
        <v>1687.96</v>
      </c>
      <c r="O82" s="9">
        <v>1755.63</v>
      </c>
      <c r="P82" s="9">
        <v>4464.47</v>
      </c>
      <c r="Q82" s="9">
        <v>6507.48</v>
      </c>
      <c r="R82" s="9">
        <v>3800.81</v>
      </c>
      <c r="S82" s="9">
        <v>1262.38</v>
      </c>
      <c r="T82" s="9"/>
      <c r="U82" s="10"/>
      <c r="V82" s="11"/>
      <c r="W82" s="12">
        <f t="shared" si="4"/>
        <v>115459.74</v>
      </c>
    </row>
    <row r="83" ht="26" spans="2:23">
      <c r="B83" s="1" t="s">
        <v>7</v>
      </c>
      <c r="C83" s="9">
        <v>103.31</v>
      </c>
      <c r="D83" s="9">
        <v>551.29</v>
      </c>
      <c r="E83" s="9">
        <v>5218.22</v>
      </c>
      <c r="F83" s="9">
        <v>14015.36</v>
      </c>
      <c r="G83" s="9">
        <v>21668.61</v>
      </c>
      <c r="H83" s="9">
        <v>12308.77</v>
      </c>
      <c r="I83" s="9">
        <v>7024.85</v>
      </c>
      <c r="J83" s="9">
        <v>11346.95</v>
      </c>
      <c r="K83" s="9">
        <v>19358.61</v>
      </c>
      <c r="L83" s="9">
        <v>6372.19</v>
      </c>
      <c r="M83" s="9">
        <v>4118.17</v>
      </c>
      <c r="N83" s="9">
        <v>2691.34</v>
      </c>
      <c r="O83" s="9">
        <v>1893.97</v>
      </c>
      <c r="P83" s="9">
        <v>4400.35</v>
      </c>
      <c r="Q83" s="9">
        <v>7635.29</v>
      </c>
      <c r="R83" s="9">
        <v>4782.32</v>
      </c>
      <c r="S83" s="9">
        <v>1237.63</v>
      </c>
      <c r="T83" s="9">
        <v>24.4</v>
      </c>
      <c r="U83" s="9">
        <v>68.86</v>
      </c>
      <c r="V83" s="9">
        <v>61.97</v>
      </c>
      <c r="W83" s="12">
        <f t="shared" si="4"/>
        <v>124882.46</v>
      </c>
    </row>
    <row r="84" ht="26" spans="2:23">
      <c r="B84" s="1" t="s">
        <v>8</v>
      </c>
      <c r="C84" s="9">
        <v>112.36</v>
      </c>
      <c r="D84" s="9">
        <v>891.53</v>
      </c>
      <c r="E84" s="9">
        <v>5480.88</v>
      </c>
      <c r="F84" s="9">
        <v>19293.95</v>
      </c>
      <c r="G84" s="9">
        <v>26806.74</v>
      </c>
      <c r="H84" s="9">
        <v>14059.5</v>
      </c>
      <c r="I84" s="9">
        <v>8444.95</v>
      </c>
      <c r="J84" s="9">
        <v>12901.7</v>
      </c>
      <c r="K84" s="9">
        <v>25775.17</v>
      </c>
      <c r="L84" s="9">
        <v>7236.65</v>
      </c>
      <c r="M84" s="9">
        <v>3796.05</v>
      </c>
      <c r="N84" s="9">
        <v>2112.77</v>
      </c>
      <c r="O84" s="9">
        <v>2050.7</v>
      </c>
      <c r="P84" s="9">
        <v>4889.75</v>
      </c>
      <c r="Q84" s="9">
        <v>7244.73</v>
      </c>
      <c r="R84" s="9">
        <v>4307.5</v>
      </c>
      <c r="S84" s="9">
        <v>551.54</v>
      </c>
      <c r="T84" s="9">
        <v>269.76</v>
      </c>
      <c r="U84" s="9">
        <v>339.94</v>
      </c>
      <c r="V84" s="9">
        <v>444.57</v>
      </c>
      <c r="W84" s="12">
        <f t="shared" si="4"/>
        <v>147010.74</v>
      </c>
    </row>
    <row r="85" ht="26" spans="2:23">
      <c r="B85" s="1" t="s">
        <v>9</v>
      </c>
      <c r="C85" s="9">
        <v>333.57</v>
      </c>
      <c r="D85" s="9">
        <v>495.12</v>
      </c>
      <c r="E85" s="9">
        <v>4675.3</v>
      </c>
      <c r="F85" s="9">
        <v>17296.28</v>
      </c>
      <c r="G85" s="9">
        <v>26506.52</v>
      </c>
      <c r="H85" s="9">
        <v>15369.51</v>
      </c>
      <c r="I85" s="9">
        <v>8296.6</v>
      </c>
      <c r="J85" s="9">
        <v>12498.66</v>
      </c>
      <c r="K85" s="9">
        <v>19626.65</v>
      </c>
      <c r="L85" s="9">
        <v>6708.22</v>
      </c>
      <c r="M85" s="9">
        <v>3408.71</v>
      </c>
      <c r="N85" s="9">
        <v>2412.22</v>
      </c>
      <c r="O85" s="9">
        <v>2369.88</v>
      </c>
      <c r="P85" s="9">
        <v>4713.01</v>
      </c>
      <c r="Q85" s="9">
        <v>6305.45</v>
      </c>
      <c r="R85" s="9">
        <v>4051.97</v>
      </c>
      <c r="S85" s="9">
        <v>129.31</v>
      </c>
      <c r="T85" s="9">
        <v>223.1</v>
      </c>
      <c r="U85" s="9">
        <v>178.62</v>
      </c>
      <c r="V85" s="9">
        <v>167.9</v>
      </c>
      <c r="W85" s="12">
        <f t="shared" si="4"/>
        <v>135766.6</v>
      </c>
    </row>
    <row r="86" ht="26" spans="2:23">
      <c r="B86" s="1" t="s">
        <v>10</v>
      </c>
      <c r="C86" s="14">
        <v>106.14</v>
      </c>
      <c r="D86" s="9">
        <v>198.79</v>
      </c>
      <c r="E86" s="9">
        <v>4508.96</v>
      </c>
      <c r="F86" s="9">
        <v>14717.27</v>
      </c>
      <c r="G86" s="9">
        <v>21423.68</v>
      </c>
      <c r="H86" s="9">
        <v>9614.6</v>
      </c>
      <c r="I86" s="9">
        <v>6347.13</v>
      </c>
      <c r="J86" s="9">
        <v>10036.43</v>
      </c>
      <c r="K86" s="9">
        <v>17476.12</v>
      </c>
      <c r="L86" s="9">
        <v>5377.53</v>
      </c>
      <c r="M86" s="9">
        <v>2874.71</v>
      </c>
      <c r="N86" s="9">
        <v>1911.71</v>
      </c>
      <c r="O86" s="9">
        <v>1931.37</v>
      </c>
      <c r="P86" s="9">
        <v>4007.83</v>
      </c>
      <c r="Q86" s="9">
        <v>6503.94</v>
      </c>
      <c r="R86" s="9">
        <v>2879.11</v>
      </c>
      <c r="S86" s="9">
        <v>535.08</v>
      </c>
      <c r="T86" s="9">
        <v>66.3</v>
      </c>
      <c r="U86" s="9">
        <v>59.98</v>
      </c>
      <c r="V86" s="9">
        <v>77.78</v>
      </c>
      <c r="W86" s="12">
        <f t="shared" si="4"/>
        <v>110654.46</v>
      </c>
    </row>
    <row r="87" ht="26" spans="2:23">
      <c r="B87" s="1" t="s">
        <v>11</v>
      </c>
      <c r="C87" s="14">
        <v>20.01</v>
      </c>
      <c r="D87" s="9">
        <v>227.94</v>
      </c>
      <c r="E87" s="9">
        <v>4489.69</v>
      </c>
      <c r="F87" s="9">
        <v>13992.18</v>
      </c>
      <c r="G87" s="9">
        <v>21284.4</v>
      </c>
      <c r="H87" s="9">
        <v>12879.78</v>
      </c>
      <c r="I87" s="9">
        <v>7485.87</v>
      </c>
      <c r="J87" s="9">
        <v>11473.04</v>
      </c>
      <c r="K87" s="9">
        <v>17346.56</v>
      </c>
      <c r="L87" s="9">
        <v>6959.81</v>
      </c>
      <c r="M87" s="9">
        <v>4189.76</v>
      </c>
      <c r="N87" s="9">
        <v>2750.96</v>
      </c>
      <c r="O87" s="9">
        <v>2531.97</v>
      </c>
      <c r="P87" s="9">
        <v>4435.3</v>
      </c>
      <c r="Q87" s="9">
        <v>6063.17</v>
      </c>
      <c r="R87" s="9">
        <v>2943.61</v>
      </c>
      <c r="S87" s="9">
        <v>445.91</v>
      </c>
      <c r="T87" s="9">
        <v>7.03</v>
      </c>
      <c r="U87" s="9">
        <v>8.13</v>
      </c>
      <c r="V87" s="9">
        <v>32.77</v>
      </c>
      <c r="W87" s="12">
        <f t="shared" si="4"/>
        <v>119567.89</v>
      </c>
    </row>
    <row r="88" ht="26" spans="2:23">
      <c r="B88" s="1" t="s">
        <v>12</v>
      </c>
      <c r="C88" s="9">
        <v>9.63</v>
      </c>
      <c r="D88" s="9">
        <v>262.61</v>
      </c>
      <c r="E88" s="9">
        <v>4538.74</v>
      </c>
      <c r="F88" s="9">
        <v>12980.28</v>
      </c>
      <c r="G88" s="9">
        <v>19632.57</v>
      </c>
      <c r="H88" s="9">
        <v>10455.23</v>
      </c>
      <c r="I88" s="9">
        <v>6495.03</v>
      </c>
      <c r="J88" s="9">
        <v>13947.04</v>
      </c>
      <c r="K88" s="9">
        <v>18984.01</v>
      </c>
      <c r="L88" s="9">
        <v>6561.8</v>
      </c>
      <c r="M88" s="9">
        <v>2930.11</v>
      </c>
      <c r="N88" s="9">
        <v>2267.22</v>
      </c>
      <c r="O88" s="9">
        <v>1804.78</v>
      </c>
      <c r="P88" s="9">
        <v>3703.11</v>
      </c>
      <c r="Q88" s="9">
        <v>5178.87</v>
      </c>
      <c r="R88" s="9">
        <v>3169.33</v>
      </c>
      <c r="S88" s="9">
        <v>41</v>
      </c>
      <c r="T88" s="9">
        <v>21.32</v>
      </c>
      <c r="U88" s="9">
        <v>10.33</v>
      </c>
      <c r="V88" s="14"/>
      <c r="W88" s="12">
        <f t="shared" si="4"/>
        <v>112993.01</v>
      </c>
    </row>
    <row r="89" ht="26" spans="2:23">
      <c r="B89" s="1" t="s">
        <v>13</v>
      </c>
      <c r="C89" s="9"/>
      <c r="D89" s="9">
        <v>209.01</v>
      </c>
      <c r="E89" s="15">
        <v>5131.28</v>
      </c>
      <c r="F89" s="15">
        <v>13826.16</v>
      </c>
      <c r="G89" s="15">
        <v>22150.88</v>
      </c>
      <c r="H89" s="15">
        <v>11993.79</v>
      </c>
      <c r="I89" s="15">
        <v>8284.76</v>
      </c>
      <c r="J89" s="15">
        <v>20079.82</v>
      </c>
      <c r="K89" s="15">
        <v>23695</v>
      </c>
      <c r="L89" s="15">
        <v>7946.73</v>
      </c>
      <c r="M89" s="15">
        <v>3562.88</v>
      </c>
      <c r="N89" s="15">
        <v>2476.59</v>
      </c>
      <c r="O89" s="15">
        <v>2520.75</v>
      </c>
      <c r="P89" s="15">
        <v>6264.37</v>
      </c>
      <c r="Q89" s="15">
        <v>7118.52</v>
      </c>
      <c r="R89" s="9">
        <v>3532.27</v>
      </c>
      <c r="S89" s="9">
        <v>17.5</v>
      </c>
      <c r="T89" s="13"/>
      <c r="U89" s="13">
        <v>8.61</v>
      </c>
      <c r="V89" s="16"/>
      <c r="W89" s="12">
        <f t="shared" si="4"/>
        <v>138818.92</v>
      </c>
    </row>
    <row r="94" ht="26" spans="2:23">
      <c r="B94" s="17" t="s">
        <v>202</v>
      </c>
      <c r="C94" s="2" t="s">
        <v>138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31" spans="2:23">
      <c r="B95" s="19"/>
      <c r="C95" s="4" t="s">
        <v>205</v>
      </c>
      <c r="D95" s="4" t="s">
        <v>208</v>
      </c>
      <c r="E95" s="4" t="s">
        <v>210</v>
      </c>
      <c r="F95" s="4" t="s">
        <v>212</v>
      </c>
      <c r="G95" s="4" t="s">
        <v>214</v>
      </c>
      <c r="H95" s="4" t="s">
        <v>216</v>
      </c>
      <c r="I95" s="20" t="s">
        <v>218</v>
      </c>
      <c r="J95" s="20" t="s">
        <v>220</v>
      </c>
      <c r="K95" s="20" t="s">
        <v>222</v>
      </c>
      <c r="L95" s="20" t="s">
        <v>224</v>
      </c>
      <c r="M95" s="4" t="s">
        <v>226</v>
      </c>
      <c r="N95" s="4" t="s">
        <v>228</v>
      </c>
      <c r="O95" s="4" t="s">
        <v>230</v>
      </c>
      <c r="P95" s="20" t="s">
        <v>232</v>
      </c>
      <c r="Q95" s="20" t="s">
        <v>234</v>
      </c>
      <c r="R95" s="4" t="s">
        <v>236</v>
      </c>
      <c r="S95" s="4" t="s">
        <v>238</v>
      </c>
      <c r="T95" s="5" t="s">
        <v>240</v>
      </c>
      <c r="U95" s="4" t="s">
        <v>242</v>
      </c>
      <c r="V95" s="4" t="s">
        <v>244</v>
      </c>
      <c r="W95" s="6" t="s">
        <v>246</v>
      </c>
    </row>
    <row r="96" ht="26" spans="2:23">
      <c r="B96" s="17" t="s">
        <v>203</v>
      </c>
      <c r="C96" s="7" t="s">
        <v>206</v>
      </c>
      <c r="D96" s="8" t="s">
        <v>209</v>
      </c>
      <c r="E96" s="8" t="s">
        <v>211</v>
      </c>
      <c r="F96" s="8" t="s">
        <v>213</v>
      </c>
      <c r="G96" s="8" t="s">
        <v>215</v>
      </c>
      <c r="H96" s="8" t="s">
        <v>217</v>
      </c>
      <c r="I96" s="8" t="s">
        <v>219</v>
      </c>
      <c r="J96" s="8" t="s">
        <v>221</v>
      </c>
      <c r="K96" s="8" t="s">
        <v>223</v>
      </c>
      <c r="L96" s="8" t="s">
        <v>225</v>
      </c>
      <c r="M96" s="8" t="s">
        <v>227</v>
      </c>
      <c r="N96" s="8" t="s">
        <v>229</v>
      </c>
      <c r="O96" s="8" t="s">
        <v>231</v>
      </c>
      <c r="P96" s="8" t="s">
        <v>233</v>
      </c>
      <c r="Q96" s="8" t="s">
        <v>235</v>
      </c>
      <c r="R96" s="8" t="s">
        <v>237</v>
      </c>
      <c r="S96" s="8" t="s">
        <v>239</v>
      </c>
      <c r="T96" s="8" t="s">
        <v>241</v>
      </c>
      <c r="U96" s="8" t="s">
        <v>243</v>
      </c>
      <c r="V96" s="8" t="s">
        <v>245</v>
      </c>
      <c r="W96" s="8"/>
    </row>
    <row r="97" ht="26" spans="2:23">
      <c r="B97" s="17" t="s">
        <v>2</v>
      </c>
      <c r="C97" s="9">
        <v>34</v>
      </c>
      <c r="D97" s="9">
        <v>1191</v>
      </c>
      <c r="E97" s="9">
        <v>7032</v>
      </c>
      <c r="F97" s="9">
        <v>26296</v>
      </c>
      <c r="G97" s="9">
        <v>31960</v>
      </c>
      <c r="H97" s="9">
        <v>17890</v>
      </c>
      <c r="I97" s="9">
        <v>9637.5</v>
      </c>
      <c r="J97" s="9">
        <v>11861</v>
      </c>
      <c r="K97" s="9">
        <v>14368.5</v>
      </c>
      <c r="L97" s="9">
        <v>4530.5</v>
      </c>
      <c r="M97" s="9">
        <v>2383</v>
      </c>
      <c r="N97" s="9">
        <v>1136</v>
      </c>
      <c r="O97" s="9">
        <v>1194</v>
      </c>
      <c r="P97" s="9">
        <v>3236.5</v>
      </c>
      <c r="Q97" s="9">
        <v>2952</v>
      </c>
      <c r="R97" s="9">
        <v>323</v>
      </c>
      <c r="S97" s="9"/>
      <c r="T97" s="9"/>
      <c r="U97" s="10"/>
      <c r="V97" s="11"/>
      <c r="W97" s="12">
        <f t="shared" ref="W97:W108" si="5">SUM(C97:V97)</f>
        <v>136025</v>
      </c>
    </row>
    <row r="98" ht="26" spans="2:23">
      <c r="B98" s="17" t="s">
        <v>3</v>
      </c>
      <c r="C98" s="9">
        <v>13</v>
      </c>
      <c r="D98" s="9">
        <v>1564</v>
      </c>
      <c r="E98" s="9">
        <v>5455</v>
      </c>
      <c r="F98" s="9">
        <v>27125.5</v>
      </c>
      <c r="G98" s="9">
        <v>34002</v>
      </c>
      <c r="H98" s="9">
        <v>17717.5</v>
      </c>
      <c r="I98" s="9">
        <v>8674</v>
      </c>
      <c r="J98" s="9">
        <v>14185.5</v>
      </c>
      <c r="K98" s="9">
        <v>16093.5</v>
      </c>
      <c r="L98" s="9">
        <v>5148</v>
      </c>
      <c r="M98" s="9">
        <v>2285</v>
      </c>
      <c r="N98" s="9">
        <v>1790.5</v>
      </c>
      <c r="O98" s="9">
        <v>1487.5</v>
      </c>
      <c r="P98" s="9">
        <v>4130</v>
      </c>
      <c r="Q98" s="9">
        <v>4844.5</v>
      </c>
      <c r="R98" s="9">
        <v>1284</v>
      </c>
      <c r="S98" s="9"/>
      <c r="T98" s="9"/>
      <c r="U98" s="10"/>
      <c r="V98" s="13"/>
      <c r="W98" s="12">
        <f t="shared" si="5"/>
        <v>145799.5</v>
      </c>
    </row>
    <row r="99" ht="26" spans="2:23">
      <c r="B99" s="17" t="s">
        <v>4</v>
      </c>
      <c r="C99" s="9">
        <v>19</v>
      </c>
      <c r="D99" s="9">
        <v>1555</v>
      </c>
      <c r="E99" s="9">
        <v>10921</v>
      </c>
      <c r="F99" s="9">
        <v>34532</v>
      </c>
      <c r="G99" s="9">
        <v>35024</v>
      </c>
      <c r="H99" s="9">
        <v>18929</v>
      </c>
      <c r="I99" s="9">
        <v>8177</v>
      </c>
      <c r="J99" s="9">
        <v>14014</v>
      </c>
      <c r="K99" s="9">
        <v>16483.5</v>
      </c>
      <c r="L99" s="9">
        <v>5110</v>
      </c>
      <c r="M99" s="9">
        <v>2791</v>
      </c>
      <c r="N99" s="9">
        <v>1795</v>
      </c>
      <c r="O99" s="9">
        <v>1591.5</v>
      </c>
      <c r="P99" s="9">
        <v>5877.5</v>
      </c>
      <c r="Q99" s="9">
        <v>6969</v>
      </c>
      <c r="R99" s="9">
        <v>2702</v>
      </c>
      <c r="S99" s="9"/>
      <c r="T99" s="9"/>
      <c r="U99" s="10"/>
      <c r="V99" s="13"/>
      <c r="W99" s="12">
        <f t="shared" si="5"/>
        <v>166490.5</v>
      </c>
    </row>
    <row r="100" ht="26" spans="2:23">
      <c r="B100" s="17" t="s">
        <v>5</v>
      </c>
      <c r="C100" s="9">
        <v>88</v>
      </c>
      <c r="D100" s="9">
        <v>4740</v>
      </c>
      <c r="E100" s="9">
        <v>17934</v>
      </c>
      <c r="F100" s="9">
        <v>34307</v>
      </c>
      <c r="G100" s="9">
        <v>33611</v>
      </c>
      <c r="H100" s="9">
        <v>15047</v>
      </c>
      <c r="I100" s="9">
        <v>7794.8</v>
      </c>
      <c r="J100" s="9">
        <v>12570.1</v>
      </c>
      <c r="K100" s="9">
        <v>14139.2</v>
      </c>
      <c r="L100" s="9">
        <v>5139.4</v>
      </c>
      <c r="M100" s="9">
        <v>2250</v>
      </c>
      <c r="N100" s="9">
        <v>1260.5</v>
      </c>
      <c r="O100" s="9">
        <v>2109.5</v>
      </c>
      <c r="P100" s="9">
        <v>4549.1</v>
      </c>
      <c r="Q100" s="9">
        <v>6199.1</v>
      </c>
      <c r="R100" s="9">
        <v>1521.5</v>
      </c>
      <c r="S100" s="9"/>
      <c r="T100" s="9"/>
      <c r="U100" s="10"/>
      <c r="V100" s="13"/>
      <c r="W100" s="12">
        <f t="shared" si="5"/>
        <v>163260.2</v>
      </c>
    </row>
    <row r="101" ht="26" spans="2:23">
      <c r="B101" s="17" t="s">
        <v>6</v>
      </c>
      <c r="C101" s="9">
        <v>62.5</v>
      </c>
      <c r="D101" s="9">
        <v>4536.29</v>
      </c>
      <c r="E101" s="9">
        <v>18671.79</v>
      </c>
      <c r="F101" s="9">
        <v>33649.57</v>
      </c>
      <c r="G101" s="9">
        <v>34026.55</v>
      </c>
      <c r="H101" s="9">
        <v>17083.22</v>
      </c>
      <c r="I101" s="9">
        <v>7541.4</v>
      </c>
      <c r="J101" s="9">
        <v>12063.05</v>
      </c>
      <c r="K101" s="9">
        <v>14495.59</v>
      </c>
      <c r="L101" s="9">
        <v>4564.6</v>
      </c>
      <c r="M101" s="9">
        <v>2252.7</v>
      </c>
      <c r="N101" s="9">
        <v>1724.99</v>
      </c>
      <c r="O101" s="9">
        <v>1804.3</v>
      </c>
      <c r="P101" s="9">
        <v>4693.95</v>
      </c>
      <c r="Q101" s="9">
        <v>5499.86</v>
      </c>
      <c r="R101" s="9">
        <v>1700.43</v>
      </c>
      <c r="S101" s="9"/>
      <c r="T101" s="9"/>
      <c r="U101" s="10"/>
      <c r="V101" s="11"/>
      <c r="W101" s="12">
        <f t="shared" si="5"/>
        <v>164370.79</v>
      </c>
    </row>
    <row r="102" ht="26" spans="2:23">
      <c r="B102" s="17" t="s">
        <v>7</v>
      </c>
      <c r="C102" s="9">
        <v>38</v>
      </c>
      <c r="D102" s="9">
        <v>4318.11</v>
      </c>
      <c r="E102" s="9">
        <v>16075.25</v>
      </c>
      <c r="F102" s="9">
        <v>32891.7</v>
      </c>
      <c r="G102" s="9">
        <v>33436.42</v>
      </c>
      <c r="H102" s="9">
        <v>16048.25</v>
      </c>
      <c r="I102" s="9">
        <v>8039.3</v>
      </c>
      <c r="J102" s="9">
        <v>12337.15</v>
      </c>
      <c r="K102" s="9">
        <v>12965.07</v>
      </c>
      <c r="L102" s="9">
        <v>4101.23</v>
      </c>
      <c r="M102" s="9">
        <v>1953.4</v>
      </c>
      <c r="N102" s="9">
        <v>2043.7</v>
      </c>
      <c r="O102" s="9">
        <v>1681.1</v>
      </c>
      <c r="P102" s="9">
        <v>3346.59</v>
      </c>
      <c r="Q102" s="9">
        <v>5580.01</v>
      </c>
      <c r="R102" s="9">
        <v>2141.8</v>
      </c>
      <c r="S102" s="9"/>
      <c r="T102" s="9"/>
      <c r="U102" s="10"/>
      <c r="V102" s="14"/>
      <c r="W102" s="12">
        <f t="shared" si="5"/>
        <v>156997.08</v>
      </c>
    </row>
    <row r="103" ht="26" spans="2:23">
      <c r="B103" s="17" t="s">
        <v>8</v>
      </c>
      <c r="C103" s="9">
        <v>64</v>
      </c>
      <c r="D103" s="9">
        <v>6462.66</v>
      </c>
      <c r="E103" s="9">
        <v>25979.67</v>
      </c>
      <c r="F103" s="9">
        <v>40102.35</v>
      </c>
      <c r="G103" s="9">
        <v>39679.93</v>
      </c>
      <c r="H103" s="9">
        <v>20920.1</v>
      </c>
      <c r="I103" s="9">
        <v>8964.41</v>
      </c>
      <c r="J103" s="9">
        <v>14981.34</v>
      </c>
      <c r="K103" s="9">
        <v>12229.38</v>
      </c>
      <c r="L103" s="9">
        <v>4740.53</v>
      </c>
      <c r="M103" s="9">
        <v>2384.9</v>
      </c>
      <c r="N103" s="9">
        <v>1492.8</v>
      </c>
      <c r="O103" s="9">
        <v>1534.5</v>
      </c>
      <c r="P103" s="9">
        <v>5056.37</v>
      </c>
      <c r="Q103" s="9">
        <v>7475.47</v>
      </c>
      <c r="R103" s="9">
        <v>2044.52</v>
      </c>
      <c r="S103" s="9"/>
      <c r="T103" s="9"/>
      <c r="U103" s="9"/>
      <c r="V103" s="9"/>
      <c r="W103" s="12">
        <f t="shared" si="5"/>
        <v>194112.93</v>
      </c>
    </row>
    <row r="104" ht="26" spans="2:23">
      <c r="B104" s="17" t="s">
        <v>9</v>
      </c>
      <c r="C104" s="9">
        <v>126</v>
      </c>
      <c r="D104" s="9">
        <v>3607.29</v>
      </c>
      <c r="E104" s="9">
        <v>25036.88</v>
      </c>
      <c r="F104" s="9">
        <v>38496.98</v>
      </c>
      <c r="G104" s="9">
        <v>38014.18</v>
      </c>
      <c r="H104" s="9">
        <v>21475.48</v>
      </c>
      <c r="I104" s="9">
        <v>10140.33</v>
      </c>
      <c r="J104" s="9">
        <v>13547.61</v>
      </c>
      <c r="K104" s="9">
        <v>13523.59</v>
      </c>
      <c r="L104" s="9">
        <v>4959.5</v>
      </c>
      <c r="M104" s="9">
        <v>2684.4</v>
      </c>
      <c r="N104" s="9">
        <v>1176.4</v>
      </c>
      <c r="O104" s="9">
        <v>2436.1</v>
      </c>
      <c r="P104" s="9">
        <v>4716.2</v>
      </c>
      <c r="Q104" s="9">
        <v>8456.5</v>
      </c>
      <c r="R104" s="9">
        <v>1676.8</v>
      </c>
      <c r="S104" s="9">
        <v>601</v>
      </c>
      <c r="T104" s="9"/>
      <c r="U104" s="9"/>
      <c r="V104" s="9"/>
      <c r="W104" s="12">
        <f t="shared" si="5"/>
        <v>190675.24</v>
      </c>
    </row>
    <row r="105" ht="26" spans="2:23">
      <c r="B105" s="17" t="s">
        <v>10</v>
      </c>
      <c r="C105" s="14">
        <v>47.11</v>
      </c>
      <c r="D105" s="9">
        <v>2162.03</v>
      </c>
      <c r="E105" s="9">
        <v>23739.96</v>
      </c>
      <c r="F105" s="9">
        <v>38681.89</v>
      </c>
      <c r="G105" s="9">
        <v>34924.56</v>
      </c>
      <c r="H105" s="9">
        <v>19391.7</v>
      </c>
      <c r="I105" s="9">
        <v>10281.09</v>
      </c>
      <c r="J105" s="9">
        <v>24951.46</v>
      </c>
      <c r="K105" s="9">
        <v>22284.03</v>
      </c>
      <c r="L105" s="9">
        <v>7370.5</v>
      </c>
      <c r="M105" s="9">
        <v>3671.06</v>
      </c>
      <c r="N105" s="9">
        <v>2291.4</v>
      </c>
      <c r="O105" s="9">
        <v>3121.52</v>
      </c>
      <c r="P105" s="9">
        <v>10764.61</v>
      </c>
      <c r="Q105" s="9">
        <v>11816.01</v>
      </c>
      <c r="R105" s="9">
        <v>5753.84</v>
      </c>
      <c r="S105" s="9">
        <v>688.31</v>
      </c>
      <c r="T105" s="9">
        <v>35.9</v>
      </c>
      <c r="U105" s="10"/>
      <c r="V105" s="14"/>
      <c r="W105" s="12">
        <f t="shared" si="5"/>
        <v>221976.98</v>
      </c>
    </row>
    <row r="106" ht="26" spans="2:23">
      <c r="B106" s="17" t="s">
        <v>11</v>
      </c>
      <c r="C106" s="9">
        <v>55.65</v>
      </c>
      <c r="D106" s="9">
        <v>1859.93</v>
      </c>
      <c r="E106" s="9">
        <v>14402.68</v>
      </c>
      <c r="F106" s="9">
        <v>35798.09</v>
      </c>
      <c r="G106" s="9">
        <v>36727.4</v>
      </c>
      <c r="H106" s="9">
        <v>21381</v>
      </c>
      <c r="I106" s="9">
        <v>12737.38</v>
      </c>
      <c r="J106" s="9">
        <v>26060.95</v>
      </c>
      <c r="K106" s="9">
        <v>22176.17</v>
      </c>
      <c r="L106" s="9">
        <v>7244.61</v>
      </c>
      <c r="M106" s="9">
        <v>4567.25</v>
      </c>
      <c r="N106" s="9">
        <v>2676.61</v>
      </c>
      <c r="O106" s="9">
        <v>2651.31</v>
      </c>
      <c r="P106" s="9">
        <v>9310.46</v>
      </c>
      <c r="Q106" s="9">
        <v>11897.38</v>
      </c>
      <c r="R106" s="9">
        <v>4486.39</v>
      </c>
      <c r="S106" s="9">
        <v>265.05</v>
      </c>
      <c r="T106" s="10"/>
      <c r="U106" s="10"/>
      <c r="V106" s="9">
        <v>18.23</v>
      </c>
      <c r="W106" s="12">
        <f t="shared" si="5"/>
        <v>214316.54</v>
      </c>
    </row>
    <row r="107" ht="26" spans="2:23">
      <c r="B107" s="1" t="s">
        <v>12</v>
      </c>
      <c r="C107" s="9">
        <v>44.29</v>
      </c>
      <c r="D107" s="9">
        <v>1282.09</v>
      </c>
      <c r="E107" s="9">
        <v>10410.07</v>
      </c>
      <c r="F107" s="9">
        <v>34214.71</v>
      </c>
      <c r="G107" s="9">
        <v>32433.45</v>
      </c>
      <c r="H107" s="9">
        <v>18556.89</v>
      </c>
      <c r="I107" s="9">
        <v>9392.84</v>
      </c>
      <c r="J107" s="9">
        <v>24927.28</v>
      </c>
      <c r="K107" s="9">
        <v>22180.27</v>
      </c>
      <c r="L107" s="9">
        <v>8230.16</v>
      </c>
      <c r="M107" s="9">
        <v>3736.24</v>
      </c>
      <c r="N107" s="9">
        <v>2720.14</v>
      </c>
      <c r="O107" s="9">
        <v>3163.72</v>
      </c>
      <c r="P107" s="9">
        <v>10090.44</v>
      </c>
      <c r="Q107" s="9">
        <v>11022.67</v>
      </c>
      <c r="R107" s="9">
        <v>5183.61</v>
      </c>
      <c r="S107" s="14"/>
      <c r="T107" s="10"/>
      <c r="U107" s="10"/>
      <c r="V107" s="14"/>
      <c r="W107" s="12">
        <f t="shared" si="5"/>
        <v>197588.87</v>
      </c>
    </row>
    <row r="108" ht="26" spans="2:23">
      <c r="B108" s="1" t="s">
        <v>13</v>
      </c>
      <c r="C108" s="9">
        <v>74.89</v>
      </c>
      <c r="D108" s="9">
        <v>1900.58</v>
      </c>
      <c r="E108" s="9">
        <v>9921.05</v>
      </c>
      <c r="F108" s="9">
        <v>37481.27</v>
      </c>
      <c r="G108" s="23">
        <v>37743.44</v>
      </c>
      <c r="H108" s="9">
        <v>20323.9</v>
      </c>
      <c r="I108" s="15">
        <v>12868.89</v>
      </c>
      <c r="J108" s="15">
        <v>33473.59</v>
      </c>
      <c r="K108" s="15">
        <v>30574.82</v>
      </c>
      <c r="L108" s="15">
        <v>11250.02</v>
      </c>
      <c r="M108" s="9">
        <v>5886.86</v>
      </c>
      <c r="N108" s="9">
        <v>4143.48</v>
      </c>
      <c r="O108" s="15">
        <v>5697.44</v>
      </c>
      <c r="P108" s="15">
        <v>14241.15</v>
      </c>
      <c r="Q108" s="15">
        <v>15360.71</v>
      </c>
      <c r="R108" s="15">
        <v>7393.83</v>
      </c>
      <c r="S108" s="9">
        <v>37.5</v>
      </c>
      <c r="T108" s="9">
        <v>8.23</v>
      </c>
      <c r="U108" s="10"/>
      <c r="V108" s="16"/>
      <c r="W108" s="12">
        <f t="shared" si="5"/>
        <v>248381.65</v>
      </c>
    </row>
    <row r="113" ht="26" spans="2:23">
      <c r="B113" s="1" t="s">
        <v>202</v>
      </c>
      <c r="C113" s="2" t="s">
        <v>36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31" spans="2:23">
      <c r="B114" s="3"/>
      <c r="C114" s="4" t="s">
        <v>205</v>
      </c>
      <c r="D114" s="4" t="s">
        <v>208</v>
      </c>
      <c r="E114" s="4" t="s">
        <v>210</v>
      </c>
      <c r="F114" s="4" t="s">
        <v>212</v>
      </c>
      <c r="G114" s="4" t="s">
        <v>214</v>
      </c>
      <c r="H114" s="4" t="s">
        <v>216</v>
      </c>
      <c r="I114" s="4" t="s">
        <v>218</v>
      </c>
      <c r="J114" s="4" t="s">
        <v>220</v>
      </c>
      <c r="K114" s="4" t="s">
        <v>222</v>
      </c>
      <c r="L114" s="4" t="s">
        <v>224</v>
      </c>
      <c r="M114" s="4" t="s">
        <v>226</v>
      </c>
      <c r="N114" s="4" t="s">
        <v>228</v>
      </c>
      <c r="O114" s="4" t="s">
        <v>230</v>
      </c>
      <c r="P114" s="4" t="s">
        <v>232</v>
      </c>
      <c r="Q114" s="4" t="s">
        <v>234</v>
      </c>
      <c r="R114" s="4" t="s">
        <v>236</v>
      </c>
      <c r="S114" s="4" t="s">
        <v>238</v>
      </c>
      <c r="T114" s="5" t="s">
        <v>240</v>
      </c>
      <c r="U114" s="4" t="s">
        <v>242</v>
      </c>
      <c r="V114" s="4" t="s">
        <v>244</v>
      </c>
      <c r="W114" s="6" t="s">
        <v>246</v>
      </c>
    </row>
    <row r="115" ht="26" spans="2:23">
      <c r="B115" s="1" t="s">
        <v>203</v>
      </c>
      <c r="C115" s="7" t="s">
        <v>206</v>
      </c>
      <c r="D115" s="8" t="s">
        <v>209</v>
      </c>
      <c r="E115" s="8" t="s">
        <v>211</v>
      </c>
      <c r="F115" s="8" t="s">
        <v>213</v>
      </c>
      <c r="G115" s="8" t="s">
        <v>215</v>
      </c>
      <c r="H115" s="8" t="s">
        <v>217</v>
      </c>
      <c r="I115" s="8" t="s">
        <v>219</v>
      </c>
      <c r="J115" s="8" t="s">
        <v>221</v>
      </c>
      <c r="K115" s="8" t="s">
        <v>223</v>
      </c>
      <c r="L115" s="8" t="s">
        <v>225</v>
      </c>
      <c r="M115" s="8" t="s">
        <v>227</v>
      </c>
      <c r="N115" s="8" t="s">
        <v>229</v>
      </c>
      <c r="O115" s="8" t="s">
        <v>231</v>
      </c>
      <c r="P115" s="8" t="s">
        <v>233</v>
      </c>
      <c r="Q115" s="8" t="s">
        <v>235</v>
      </c>
      <c r="R115" s="8" t="s">
        <v>237</v>
      </c>
      <c r="S115" s="8" t="s">
        <v>239</v>
      </c>
      <c r="T115" s="8" t="s">
        <v>241</v>
      </c>
      <c r="U115" s="8" t="s">
        <v>243</v>
      </c>
      <c r="V115" s="8" t="s">
        <v>245</v>
      </c>
      <c r="W115" s="8"/>
    </row>
    <row r="116" ht="26" spans="2:23">
      <c r="B116" s="1" t="s">
        <v>2</v>
      </c>
      <c r="C116" s="9"/>
      <c r="D116" s="9">
        <v>232.5</v>
      </c>
      <c r="E116" s="9">
        <v>7749.49</v>
      </c>
      <c r="F116" s="9">
        <v>25752.03</v>
      </c>
      <c r="G116" s="9">
        <v>36198.83</v>
      </c>
      <c r="H116" s="9">
        <v>27218.57</v>
      </c>
      <c r="I116" s="9">
        <v>16948.74</v>
      </c>
      <c r="J116" s="9">
        <v>17752.48</v>
      </c>
      <c r="K116" s="9">
        <v>22245.09</v>
      </c>
      <c r="L116" s="9">
        <v>10478.15</v>
      </c>
      <c r="M116" s="9">
        <v>5740.33</v>
      </c>
      <c r="N116" s="9">
        <v>6013.57</v>
      </c>
      <c r="O116" s="9">
        <v>4931.63</v>
      </c>
      <c r="P116" s="9">
        <v>6478.61</v>
      </c>
      <c r="Q116" s="9">
        <v>9570.35</v>
      </c>
      <c r="R116" s="9">
        <v>5620.78</v>
      </c>
      <c r="S116" s="9">
        <v>1495.75</v>
      </c>
      <c r="T116" s="9">
        <v>17</v>
      </c>
      <c r="U116" s="10"/>
      <c r="V116" s="11"/>
      <c r="W116" s="12">
        <f t="shared" ref="W116:W127" si="6">SUM(C116:V116)</f>
        <v>204443.9</v>
      </c>
    </row>
    <row r="117" ht="26" spans="2:23">
      <c r="B117" s="1" t="s">
        <v>3</v>
      </c>
      <c r="C117" s="9"/>
      <c r="D117" s="9">
        <v>174.5</v>
      </c>
      <c r="E117" s="9">
        <v>8372.68</v>
      </c>
      <c r="F117" s="9">
        <v>27107.36</v>
      </c>
      <c r="G117" s="9">
        <v>34164.55</v>
      </c>
      <c r="H117" s="9">
        <v>23001.09</v>
      </c>
      <c r="I117" s="9">
        <v>15573.42</v>
      </c>
      <c r="J117" s="9">
        <v>19439.72</v>
      </c>
      <c r="K117" s="9">
        <v>23069.25</v>
      </c>
      <c r="L117" s="9">
        <v>9880.21</v>
      </c>
      <c r="M117" s="9">
        <v>7556.95</v>
      </c>
      <c r="N117" s="9">
        <v>3146.47</v>
      </c>
      <c r="O117" s="9">
        <v>2971.52</v>
      </c>
      <c r="P117" s="9">
        <v>7950.47</v>
      </c>
      <c r="Q117" s="9">
        <v>9085.55</v>
      </c>
      <c r="R117" s="9">
        <v>5460.02</v>
      </c>
      <c r="S117" s="9">
        <v>1963.95</v>
      </c>
      <c r="T117" s="9"/>
      <c r="U117" s="10"/>
      <c r="V117" s="13"/>
      <c r="W117" s="12">
        <f t="shared" si="6"/>
        <v>198917.71</v>
      </c>
    </row>
    <row r="118" ht="26" spans="2:23">
      <c r="B118" s="1" t="s">
        <v>4</v>
      </c>
      <c r="C118" s="9"/>
      <c r="D118" s="9">
        <v>183</v>
      </c>
      <c r="E118" s="9">
        <v>11445.48</v>
      </c>
      <c r="F118" s="9">
        <v>29136.53</v>
      </c>
      <c r="G118" s="9">
        <v>36918.71</v>
      </c>
      <c r="H118" s="9">
        <v>22565.97</v>
      </c>
      <c r="I118" s="9">
        <v>12712.31</v>
      </c>
      <c r="J118" s="9">
        <v>17583.5</v>
      </c>
      <c r="K118" s="9">
        <v>22351.02</v>
      </c>
      <c r="L118" s="9">
        <v>10484.57</v>
      </c>
      <c r="M118" s="9">
        <v>4781.69</v>
      </c>
      <c r="N118" s="9">
        <v>3125.34</v>
      </c>
      <c r="O118" s="9">
        <v>3245.19</v>
      </c>
      <c r="P118" s="9">
        <v>9073.38</v>
      </c>
      <c r="Q118" s="9">
        <v>9072.18</v>
      </c>
      <c r="R118" s="9">
        <v>6129.7</v>
      </c>
      <c r="S118" s="9">
        <v>1854.41</v>
      </c>
      <c r="T118" s="9"/>
      <c r="U118" s="10"/>
      <c r="V118" s="13"/>
      <c r="W118" s="12">
        <f t="shared" si="6"/>
        <v>200662.98</v>
      </c>
    </row>
    <row r="119" ht="26" spans="2:23">
      <c r="B119" s="1" t="s">
        <v>5</v>
      </c>
      <c r="C119" s="9"/>
      <c r="D119" s="9">
        <v>204.13</v>
      </c>
      <c r="E119" s="9">
        <v>14547.93</v>
      </c>
      <c r="F119" s="9">
        <v>35340.62</v>
      </c>
      <c r="G119" s="9">
        <v>38846.62</v>
      </c>
      <c r="H119" s="9">
        <v>23962.89</v>
      </c>
      <c r="I119" s="9">
        <v>12682.23</v>
      </c>
      <c r="J119" s="9">
        <v>21495.11</v>
      </c>
      <c r="K119" s="9">
        <v>25300.29</v>
      </c>
      <c r="L119" s="9">
        <v>10503.84</v>
      </c>
      <c r="M119" s="9">
        <v>4584.09</v>
      </c>
      <c r="N119" s="9">
        <v>3185.17</v>
      </c>
      <c r="O119" s="9">
        <v>3393.9</v>
      </c>
      <c r="P119" s="9">
        <v>8453.41</v>
      </c>
      <c r="Q119" s="9">
        <v>11545.63</v>
      </c>
      <c r="R119" s="9">
        <v>7439.58</v>
      </c>
      <c r="S119" s="9">
        <v>1930.92</v>
      </c>
      <c r="T119" s="9">
        <v>13.98</v>
      </c>
      <c r="U119" s="10"/>
      <c r="V119" s="13"/>
      <c r="W119" s="12">
        <f t="shared" si="6"/>
        <v>223430.34</v>
      </c>
    </row>
    <row r="120" ht="26" spans="2:23">
      <c r="B120" s="1" t="s">
        <v>6</v>
      </c>
      <c r="C120" s="9"/>
      <c r="D120" s="9">
        <v>256.69</v>
      </c>
      <c r="E120" s="9">
        <v>15627.7</v>
      </c>
      <c r="F120" s="9">
        <v>37223.58</v>
      </c>
      <c r="G120" s="9">
        <v>37940.21</v>
      </c>
      <c r="H120" s="9">
        <v>26290.93</v>
      </c>
      <c r="I120" s="9">
        <v>14972.85</v>
      </c>
      <c r="J120" s="9">
        <v>20139.58</v>
      </c>
      <c r="K120" s="9">
        <v>24008.71</v>
      </c>
      <c r="L120" s="9">
        <v>11519.28</v>
      </c>
      <c r="M120" s="9">
        <v>6467.18</v>
      </c>
      <c r="N120" s="9">
        <v>2828.45</v>
      </c>
      <c r="O120" s="9">
        <v>3844.19</v>
      </c>
      <c r="P120" s="9">
        <v>9804.53</v>
      </c>
      <c r="Q120" s="9">
        <v>11297.07</v>
      </c>
      <c r="R120" s="9">
        <v>7398.75</v>
      </c>
      <c r="S120" s="9">
        <v>2032.11</v>
      </c>
      <c r="T120" s="9">
        <v>18.19</v>
      </c>
      <c r="U120" s="9">
        <v>41.14</v>
      </c>
      <c r="V120" s="11"/>
      <c r="W120" s="12">
        <f t="shared" si="6"/>
        <v>231711.14</v>
      </c>
    </row>
    <row r="121" ht="26" spans="2:23">
      <c r="B121" s="1" t="s">
        <v>7</v>
      </c>
      <c r="C121" s="9">
        <v>26.54</v>
      </c>
      <c r="D121" s="9">
        <v>387.07</v>
      </c>
      <c r="E121" s="9">
        <v>15824.74</v>
      </c>
      <c r="F121" s="9">
        <v>35240.11</v>
      </c>
      <c r="G121" s="9">
        <v>40373.87</v>
      </c>
      <c r="H121" s="9">
        <v>27040.68</v>
      </c>
      <c r="I121" s="9">
        <v>17078.33</v>
      </c>
      <c r="J121" s="9">
        <v>22569.41</v>
      </c>
      <c r="K121" s="9">
        <v>24007.57</v>
      </c>
      <c r="L121" s="9">
        <v>11989.6</v>
      </c>
      <c r="M121" s="9">
        <v>5762.93</v>
      </c>
      <c r="N121" s="9">
        <v>3296.91</v>
      </c>
      <c r="O121" s="9">
        <v>4123.34</v>
      </c>
      <c r="P121" s="9">
        <v>8585.93</v>
      </c>
      <c r="Q121" s="9">
        <v>12272.45</v>
      </c>
      <c r="R121" s="9">
        <v>8309.18</v>
      </c>
      <c r="S121" s="9">
        <v>2031.55</v>
      </c>
      <c r="T121" s="9">
        <v>53.65</v>
      </c>
      <c r="U121" s="9">
        <v>36.79</v>
      </c>
      <c r="V121" s="9">
        <v>8.93</v>
      </c>
      <c r="W121" s="12">
        <f t="shared" si="6"/>
        <v>239019.58</v>
      </c>
    </row>
    <row r="122" ht="26" spans="2:23">
      <c r="B122" s="1" t="s">
        <v>8</v>
      </c>
      <c r="C122" s="9">
        <v>465.84</v>
      </c>
      <c r="D122" s="9">
        <v>1726.92</v>
      </c>
      <c r="E122" s="9">
        <v>18038.75</v>
      </c>
      <c r="F122" s="9">
        <v>39332.95</v>
      </c>
      <c r="G122" s="9">
        <v>46385.17</v>
      </c>
      <c r="H122" s="9">
        <v>31098.19</v>
      </c>
      <c r="I122" s="9">
        <v>18367.5</v>
      </c>
      <c r="J122" s="9">
        <v>22457.74</v>
      </c>
      <c r="K122" s="9">
        <v>24070.95</v>
      </c>
      <c r="L122" s="9">
        <v>11568.39</v>
      </c>
      <c r="M122" s="9">
        <v>5206.9</v>
      </c>
      <c r="N122" s="9">
        <v>3539.3</v>
      </c>
      <c r="O122" s="9">
        <v>4197.69</v>
      </c>
      <c r="P122" s="9">
        <v>9408.8</v>
      </c>
      <c r="Q122" s="9">
        <v>12170.91</v>
      </c>
      <c r="R122" s="9">
        <v>9873.39</v>
      </c>
      <c r="S122" s="9">
        <v>2926.42</v>
      </c>
      <c r="T122" s="9">
        <v>413.61</v>
      </c>
      <c r="U122" s="9">
        <v>700.31</v>
      </c>
      <c r="V122" s="9">
        <v>289.18</v>
      </c>
      <c r="W122" s="12">
        <f t="shared" si="6"/>
        <v>262238.91</v>
      </c>
    </row>
    <row r="123" ht="26" spans="2:23">
      <c r="B123" s="1" t="s">
        <v>9</v>
      </c>
      <c r="C123" s="9">
        <v>258.44</v>
      </c>
      <c r="D123" s="9">
        <v>1355.22</v>
      </c>
      <c r="E123" s="9">
        <v>13958.4</v>
      </c>
      <c r="F123" s="9">
        <v>33898.55</v>
      </c>
      <c r="G123" s="9">
        <v>44580.1</v>
      </c>
      <c r="H123" s="9">
        <v>31981.66</v>
      </c>
      <c r="I123" s="9">
        <v>20364.16</v>
      </c>
      <c r="J123" s="9">
        <v>25238.93</v>
      </c>
      <c r="K123" s="9">
        <v>23292.44</v>
      </c>
      <c r="L123" s="9">
        <v>10896.06</v>
      </c>
      <c r="M123" s="9">
        <v>6132.9</v>
      </c>
      <c r="N123" s="9">
        <v>3164.98</v>
      </c>
      <c r="O123" s="9">
        <v>3285.38</v>
      </c>
      <c r="P123" s="9">
        <v>8210.18</v>
      </c>
      <c r="Q123" s="9">
        <v>10889.04</v>
      </c>
      <c r="R123" s="9">
        <v>7768.57</v>
      </c>
      <c r="S123" s="9">
        <v>1608.79</v>
      </c>
      <c r="T123" s="9">
        <v>201.88</v>
      </c>
      <c r="U123" s="9">
        <v>245.27</v>
      </c>
      <c r="V123" s="9">
        <v>78.82</v>
      </c>
      <c r="W123" s="12">
        <f t="shared" si="6"/>
        <v>247409.77</v>
      </c>
    </row>
    <row r="124" ht="26" spans="2:23">
      <c r="B124" s="1" t="s">
        <v>10</v>
      </c>
      <c r="C124" s="14">
        <v>57.35</v>
      </c>
      <c r="D124" s="9">
        <v>931.78</v>
      </c>
      <c r="E124" s="9">
        <v>16569.83</v>
      </c>
      <c r="F124" s="9">
        <v>32493.3</v>
      </c>
      <c r="G124" s="9">
        <v>37150.31</v>
      </c>
      <c r="H124" s="9">
        <v>23045.52</v>
      </c>
      <c r="I124" s="9">
        <v>13602.42</v>
      </c>
      <c r="J124" s="9">
        <v>22949.51</v>
      </c>
      <c r="K124" s="9">
        <v>24050.46</v>
      </c>
      <c r="L124" s="9">
        <v>10618.65</v>
      </c>
      <c r="M124" s="9">
        <v>5468.76</v>
      </c>
      <c r="N124" s="9">
        <v>3360.97</v>
      </c>
      <c r="O124" s="9">
        <v>3211.49</v>
      </c>
      <c r="P124" s="9">
        <v>8980.12</v>
      </c>
      <c r="Q124" s="9">
        <v>11853.13</v>
      </c>
      <c r="R124" s="9">
        <v>7017.33</v>
      </c>
      <c r="S124" s="9">
        <v>2350.17</v>
      </c>
      <c r="T124" s="9">
        <v>124.44</v>
      </c>
      <c r="U124" s="9">
        <v>101.21</v>
      </c>
      <c r="V124" s="9">
        <v>124.25</v>
      </c>
      <c r="W124" s="12">
        <f t="shared" si="6"/>
        <v>224061</v>
      </c>
    </row>
    <row r="125" ht="26" spans="2:23">
      <c r="B125" s="1" t="s">
        <v>11</v>
      </c>
      <c r="C125" s="14">
        <v>55.31</v>
      </c>
      <c r="D125" s="9">
        <v>513.55</v>
      </c>
      <c r="E125" s="9">
        <v>14590.38</v>
      </c>
      <c r="F125" s="9">
        <v>33059.05</v>
      </c>
      <c r="G125" s="9">
        <v>41832.7</v>
      </c>
      <c r="H125" s="9">
        <v>27011.66</v>
      </c>
      <c r="I125" s="9">
        <v>16403.05</v>
      </c>
      <c r="J125" s="9">
        <v>27542.98</v>
      </c>
      <c r="K125" s="9">
        <v>25206.57</v>
      </c>
      <c r="L125" s="9">
        <v>12354.61</v>
      </c>
      <c r="M125" s="9">
        <v>6346.9</v>
      </c>
      <c r="N125" s="9">
        <v>3894.16</v>
      </c>
      <c r="O125" s="9">
        <v>3943.48</v>
      </c>
      <c r="P125" s="9">
        <v>9336.51</v>
      </c>
      <c r="Q125" s="9">
        <v>11117.05</v>
      </c>
      <c r="R125" s="9">
        <v>6622.39</v>
      </c>
      <c r="S125" s="9">
        <v>1570</v>
      </c>
      <c r="T125" s="9">
        <v>161.88</v>
      </c>
      <c r="U125" s="9">
        <v>201.38</v>
      </c>
      <c r="V125" s="9">
        <v>64.68</v>
      </c>
      <c r="W125" s="12">
        <f t="shared" si="6"/>
        <v>241828.29</v>
      </c>
    </row>
    <row r="126" ht="26" spans="2:23">
      <c r="B126" s="1" t="s">
        <v>12</v>
      </c>
      <c r="C126" s="9">
        <v>16.1</v>
      </c>
      <c r="D126" s="9">
        <v>429.84</v>
      </c>
      <c r="E126" s="9">
        <v>13089.39</v>
      </c>
      <c r="F126" s="9">
        <v>30805.88</v>
      </c>
      <c r="G126" s="9">
        <v>38772</v>
      </c>
      <c r="H126" s="9">
        <v>25405.53</v>
      </c>
      <c r="I126" s="9">
        <v>15376.46</v>
      </c>
      <c r="J126" s="9">
        <v>24013.94</v>
      </c>
      <c r="K126" s="9">
        <v>24446.83</v>
      </c>
      <c r="L126" s="9">
        <v>13530.69</v>
      </c>
      <c r="M126" s="9">
        <v>7284.48</v>
      </c>
      <c r="N126" s="9">
        <v>4193.68</v>
      </c>
      <c r="O126" s="9">
        <v>5544.21</v>
      </c>
      <c r="P126" s="9">
        <v>10732.36</v>
      </c>
      <c r="Q126" s="9">
        <v>11559.8</v>
      </c>
      <c r="R126" s="9">
        <v>7717.95</v>
      </c>
      <c r="S126" s="9">
        <v>1740.66</v>
      </c>
      <c r="T126" s="9">
        <v>34.33</v>
      </c>
      <c r="U126" s="9">
        <v>67.68</v>
      </c>
      <c r="V126" s="9">
        <v>56.64</v>
      </c>
      <c r="W126" s="12">
        <f t="shared" si="6"/>
        <v>234818.45</v>
      </c>
    </row>
    <row r="127" ht="26" spans="2:23">
      <c r="B127" s="1" t="s">
        <v>13</v>
      </c>
      <c r="C127" s="16">
        <v>63.32</v>
      </c>
      <c r="D127" s="9">
        <v>440.55</v>
      </c>
      <c r="E127" s="9">
        <v>12420.82</v>
      </c>
      <c r="F127" s="9">
        <v>27369.11</v>
      </c>
      <c r="G127" s="15">
        <v>40741.49</v>
      </c>
      <c r="H127" s="15">
        <v>27666.91</v>
      </c>
      <c r="I127" s="9">
        <v>18208.76</v>
      </c>
      <c r="J127" s="9">
        <v>25253.82</v>
      </c>
      <c r="K127" s="9">
        <v>25659.08</v>
      </c>
      <c r="L127" s="9">
        <v>13629.48</v>
      </c>
      <c r="M127" s="9">
        <v>7702.67</v>
      </c>
      <c r="N127" s="9">
        <v>4258.28</v>
      </c>
      <c r="O127" s="9">
        <v>5134.05</v>
      </c>
      <c r="P127" s="15">
        <v>13131.39</v>
      </c>
      <c r="Q127" s="15">
        <v>13373.46</v>
      </c>
      <c r="R127" s="9">
        <v>8430.75</v>
      </c>
      <c r="S127" s="9">
        <v>1373.74</v>
      </c>
      <c r="T127" s="9">
        <v>19.32</v>
      </c>
      <c r="U127" s="9">
        <v>41.01</v>
      </c>
      <c r="V127" s="9">
        <v>41.46</v>
      </c>
      <c r="W127" s="12">
        <f t="shared" si="6"/>
        <v>244959.47</v>
      </c>
    </row>
    <row r="132" ht="26" spans="2:23">
      <c r="B132" s="1" t="s">
        <v>202</v>
      </c>
      <c r="C132" s="2" t="s">
        <v>173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3"/>
      <c r="V132" s="2"/>
      <c r="W132" s="2"/>
    </row>
    <row r="133" ht="31" spans="2:23">
      <c r="B133" s="3"/>
      <c r="C133" s="4" t="s">
        <v>205</v>
      </c>
      <c r="D133" s="4" t="s">
        <v>208</v>
      </c>
      <c r="E133" s="4" t="s">
        <v>210</v>
      </c>
      <c r="F133" s="24" t="s">
        <v>212</v>
      </c>
      <c r="G133" s="24" t="s">
        <v>214</v>
      </c>
      <c r="H133" s="24" t="s">
        <v>216</v>
      </c>
      <c r="I133" s="4" t="s">
        <v>218</v>
      </c>
      <c r="J133" s="20" t="s">
        <v>220</v>
      </c>
      <c r="K133" s="20" t="s">
        <v>222</v>
      </c>
      <c r="L133" s="20" t="s">
        <v>224</v>
      </c>
      <c r="M133" s="4" t="s">
        <v>226</v>
      </c>
      <c r="N133" s="4" t="s">
        <v>228</v>
      </c>
      <c r="O133" s="4" t="s">
        <v>230</v>
      </c>
      <c r="P133" s="4" t="s">
        <v>232</v>
      </c>
      <c r="Q133" s="24" t="s">
        <v>234</v>
      </c>
      <c r="R133" s="24" t="s">
        <v>236</v>
      </c>
      <c r="S133" s="24" t="s">
        <v>238</v>
      </c>
      <c r="T133" s="25" t="s">
        <v>240</v>
      </c>
      <c r="U133" s="3" t="s">
        <v>242</v>
      </c>
      <c r="V133" s="4" t="s">
        <v>244</v>
      </c>
      <c r="W133" s="6" t="s">
        <v>246</v>
      </c>
    </row>
    <row r="134" ht="26" spans="2:23">
      <c r="B134" s="1" t="s">
        <v>203</v>
      </c>
      <c r="C134" s="7" t="s">
        <v>206</v>
      </c>
      <c r="D134" s="8" t="s">
        <v>209</v>
      </c>
      <c r="E134" s="8" t="s">
        <v>211</v>
      </c>
      <c r="F134" s="8" t="s">
        <v>213</v>
      </c>
      <c r="G134" s="8" t="s">
        <v>215</v>
      </c>
      <c r="H134" s="8" t="s">
        <v>217</v>
      </c>
      <c r="I134" s="8" t="s">
        <v>219</v>
      </c>
      <c r="J134" s="8" t="s">
        <v>221</v>
      </c>
      <c r="K134" s="8" t="s">
        <v>223</v>
      </c>
      <c r="L134" s="8" t="s">
        <v>225</v>
      </c>
      <c r="M134" s="8" t="s">
        <v>227</v>
      </c>
      <c r="N134" s="8" t="s">
        <v>229</v>
      </c>
      <c r="O134" s="8" t="s">
        <v>231</v>
      </c>
      <c r="P134" s="8" t="s">
        <v>233</v>
      </c>
      <c r="Q134" s="8" t="s">
        <v>235</v>
      </c>
      <c r="R134" s="8" t="s">
        <v>237</v>
      </c>
      <c r="S134" s="8" t="s">
        <v>239</v>
      </c>
      <c r="T134" s="8" t="s">
        <v>241</v>
      </c>
      <c r="U134" s="3" t="s">
        <v>243</v>
      </c>
      <c r="V134" s="8" t="s">
        <v>245</v>
      </c>
      <c r="W134" s="8"/>
    </row>
    <row r="135" ht="26" spans="2:23">
      <c r="B135" s="1" t="s">
        <v>2</v>
      </c>
      <c r="C135" s="9">
        <v>112</v>
      </c>
      <c r="D135" s="9">
        <v>1133.9</v>
      </c>
      <c r="E135" s="9">
        <v>8265.39</v>
      </c>
      <c r="F135" s="9">
        <v>25565.39</v>
      </c>
      <c r="G135" s="9">
        <v>49572.86</v>
      </c>
      <c r="H135" s="9">
        <v>46423.74</v>
      </c>
      <c r="I135" s="9">
        <v>27108.57</v>
      </c>
      <c r="J135" s="9">
        <v>50103.87</v>
      </c>
      <c r="K135" s="9">
        <v>73019</v>
      </c>
      <c r="L135" s="9">
        <v>29708.59</v>
      </c>
      <c r="M135" s="9">
        <v>13723.51</v>
      </c>
      <c r="N135" s="9">
        <v>7142.58</v>
      </c>
      <c r="O135" s="9">
        <v>6309.92</v>
      </c>
      <c r="P135" s="9">
        <v>28357.72</v>
      </c>
      <c r="Q135" s="9">
        <v>36303.07</v>
      </c>
      <c r="R135" s="9">
        <v>21666.7</v>
      </c>
      <c r="S135" s="9">
        <v>11275.6</v>
      </c>
      <c r="T135" s="9">
        <v>450</v>
      </c>
      <c r="U135" s="3"/>
      <c r="V135" s="11"/>
      <c r="W135" s="12">
        <f t="shared" ref="W135:W146" si="7">SUM(C135:V135)</f>
        <v>436242.41</v>
      </c>
    </row>
    <row r="136" ht="26" spans="2:23">
      <c r="B136" s="1" t="s">
        <v>3</v>
      </c>
      <c r="C136" s="9">
        <v>55</v>
      </c>
      <c r="D136" s="9">
        <v>1251.61</v>
      </c>
      <c r="E136" s="9">
        <v>7263.14</v>
      </c>
      <c r="F136" s="9">
        <v>27054.78</v>
      </c>
      <c r="G136" s="9">
        <v>48613.68</v>
      </c>
      <c r="H136" s="9">
        <v>45123.73</v>
      </c>
      <c r="I136" s="9">
        <v>26056.2</v>
      </c>
      <c r="J136" s="9">
        <v>46767.11</v>
      </c>
      <c r="K136" s="9">
        <v>63498.77</v>
      </c>
      <c r="L136" s="9">
        <v>26740.65</v>
      </c>
      <c r="M136" s="9">
        <v>11478</v>
      </c>
      <c r="N136" s="9">
        <v>6417.21</v>
      </c>
      <c r="O136" s="9">
        <v>6887.18</v>
      </c>
      <c r="P136" s="9">
        <v>29405.17</v>
      </c>
      <c r="Q136" s="9">
        <v>37177.1</v>
      </c>
      <c r="R136" s="9">
        <v>23125.66</v>
      </c>
      <c r="S136" s="9">
        <v>10386.08</v>
      </c>
      <c r="T136" s="9">
        <v>292.14</v>
      </c>
      <c r="U136" s="3"/>
      <c r="V136" s="13"/>
      <c r="W136" s="12">
        <f t="shared" si="7"/>
        <v>417593.21</v>
      </c>
    </row>
    <row r="137" ht="26" spans="2:23">
      <c r="B137" s="1" t="s">
        <v>4</v>
      </c>
      <c r="C137" s="9">
        <v>149</v>
      </c>
      <c r="D137" s="9">
        <v>1703.15</v>
      </c>
      <c r="E137" s="9">
        <v>10478</v>
      </c>
      <c r="F137" s="9">
        <v>34997.87</v>
      </c>
      <c r="G137" s="9">
        <v>52207.39</v>
      </c>
      <c r="H137" s="9">
        <v>39947.99</v>
      </c>
      <c r="I137" s="9">
        <v>22107.74</v>
      </c>
      <c r="J137" s="9">
        <v>58937.28</v>
      </c>
      <c r="K137" s="9">
        <v>81339.21</v>
      </c>
      <c r="L137" s="9">
        <v>30324.78</v>
      </c>
      <c r="M137" s="9">
        <v>12139.28</v>
      </c>
      <c r="N137" s="9">
        <v>7317.01</v>
      </c>
      <c r="O137" s="9">
        <v>7034.94</v>
      </c>
      <c r="P137" s="9">
        <v>34340.02</v>
      </c>
      <c r="Q137" s="9">
        <v>42461.76</v>
      </c>
      <c r="R137" s="9">
        <v>25367.39</v>
      </c>
      <c r="S137" s="9">
        <v>10705.67</v>
      </c>
      <c r="T137" s="9">
        <v>1308</v>
      </c>
      <c r="U137" s="3"/>
      <c r="V137" s="13"/>
      <c r="W137" s="12">
        <f t="shared" si="7"/>
        <v>472866.48</v>
      </c>
    </row>
    <row r="138" ht="26" spans="2:23">
      <c r="B138" s="1" t="s">
        <v>5</v>
      </c>
      <c r="C138" s="9">
        <v>112.5</v>
      </c>
      <c r="D138" s="9">
        <v>1808.09</v>
      </c>
      <c r="E138" s="9">
        <v>13058.02</v>
      </c>
      <c r="F138" s="9">
        <v>37345.1</v>
      </c>
      <c r="G138" s="9">
        <v>50598.23</v>
      </c>
      <c r="H138" s="9">
        <v>35714.67</v>
      </c>
      <c r="I138" s="9">
        <v>18037.97</v>
      </c>
      <c r="J138" s="9">
        <v>57175.59</v>
      </c>
      <c r="K138" s="9">
        <v>76941.11</v>
      </c>
      <c r="L138" s="9">
        <v>23984.62</v>
      </c>
      <c r="M138" s="9">
        <v>9480.86</v>
      </c>
      <c r="N138" s="9">
        <v>5736.77</v>
      </c>
      <c r="O138" s="9">
        <v>5650.9</v>
      </c>
      <c r="P138" s="9">
        <v>33617.87</v>
      </c>
      <c r="Q138" s="9">
        <v>37114.77</v>
      </c>
      <c r="R138" s="9">
        <v>23913.88</v>
      </c>
      <c r="S138" s="9">
        <v>10037.52</v>
      </c>
      <c r="T138" s="9">
        <v>723</v>
      </c>
      <c r="U138" s="3"/>
      <c r="V138" s="13"/>
      <c r="W138" s="12">
        <f t="shared" si="7"/>
        <v>441051.47</v>
      </c>
    </row>
    <row r="139" ht="26" spans="2:23">
      <c r="B139" s="1" t="s">
        <v>6</v>
      </c>
      <c r="C139" s="9">
        <v>63</v>
      </c>
      <c r="D139" s="9">
        <v>2019.67</v>
      </c>
      <c r="E139" s="9">
        <v>13842.04</v>
      </c>
      <c r="F139" s="9">
        <v>38760.7</v>
      </c>
      <c r="G139" s="9">
        <v>53252.87</v>
      </c>
      <c r="H139" s="9">
        <v>40527.36</v>
      </c>
      <c r="I139" s="9">
        <v>20868.99</v>
      </c>
      <c r="J139" s="9">
        <v>57163.09</v>
      </c>
      <c r="K139" s="9">
        <v>71728.51</v>
      </c>
      <c r="L139" s="9">
        <v>24782.2</v>
      </c>
      <c r="M139" s="9">
        <v>10028.22</v>
      </c>
      <c r="N139" s="9">
        <v>5135.73</v>
      </c>
      <c r="O139" s="9">
        <v>5046.92</v>
      </c>
      <c r="P139" s="9">
        <v>30610.14</v>
      </c>
      <c r="Q139" s="9">
        <v>32777.84</v>
      </c>
      <c r="R139" s="9">
        <v>22773.42</v>
      </c>
      <c r="S139" s="9">
        <v>11115.26</v>
      </c>
      <c r="T139" s="9">
        <v>754.6</v>
      </c>
      <c r="U139" s="3"/>
      <c r="V139" s="11"/>
      <c r="W139" s="12">
        <f t="shared" si="7"/>
        <v>441250.56</v>
      </c>
    </row>
    <row r="140" ht="26" spans="2:23">
      <c r="B140" s="1" t="s">
        <v>7</v>
      </c>
      <c r="C140" s="9">
        <v>63.5</v>
      </c>
      <c r="D140" s="9">
        <v>2403.98</v>
      </c>
      <c r="E140" s="9">
        <v>14383.59</v>
      </c>
      <c r="F140" s="9">
        <v>34234.95</v>
      </c>
      <c r="G140" s="9">
        <v>48768.51</v>
      </c>
      <c r="H140" s="9">
        <v>36069.66</v>
      </c>
      <c r="I140" s="9">
        <v>20689.19</v>
      </c>
      <c r="J140" s="9">
        <v>57796.04</v>
      </c>
      <c r="K140" s="9">
        <v>70609.28</v>
      </c>
      <c r="L140" s="9">
        <v>22897.93</v>
      </c>
      <c r="M140" s="9">
        <v>9143.01</v>
      </c>
      <c r="N140" s="9">
        <v>4087.94</v>
      </c>
      <c r="O140" s="9">
        <v>6023.02</v>
      </c>
      <c r="P140" s="9">
        <v>32878.58</v>
      </c>
      <c r="Q140" s="9">
        <v>35720.62</v>
      </c>
      <c r="R140" s="9">
        <v>21486.84</v>
      </c>
      <c r="S140" s="9">
        <v>9814.58</v>
      </c>
      <c r="T140" s="9">
        <v>2615.03</v>
      </c>
      <c r="U140" s="3"/>
      <c r="V140" s="14"/>
      <c r="W140" s="12">
        <f t="shared" si="7"/>
        <v>429686.25</v>
      </c>
    </row>
    <row r="141" ht="26" spans="2:23">
      <c r="B141" s="1" t="s">
        <v>8</v>
      </c>
      <c r="C141" s="9">
        <v>292.62</v>
      </c>
      <c r="D141" s="9">
        <v>2616.22</v>
      </c>
      <c r="E141" s="9">
        <v>17049.01</v>
      </c>
      <c r="F141" s="9">
        <v>47304.4</v>
      </c>
      <c r="G141" s="9">
        <v>62219.06</v>
      </c>
      <c r="H141" s="9">
        <v>47075.86</v>
      </c>
      <c r="I141" s="9">
        <v>26572.11</v>
      </c>
      <c r="J141" s="9">
        <v>65946.91</v>
      </c>
      <c r="K141" s="9">
        <v>73921.49</v>
      </c>
      <c r="L141" s="9">
        <v>25587.81</v>
      </c>
      <c r="M141" s="9">
        <v>9292.81</v>
      </c>
      <c r="N141" s="9">
        <v>4969.34</v>
      </c>
      <c r="O141" s="9">
        <v>5743.85</v>
      </c>
      <c r="P141" s="9">
        <v>35226.27</v>
      </c>
      <c r="Q141" s="9">
        <v>42306.77</v>
      </c>
      <c r="R141" s="9">
        <v>28158.13</v>
      </c>
      <c r="S141" s="9">
        <v>13030.74</v>
      </c>
      <c r="T141" s="9">
        <v>792.45</v>
      </c>
      <c r="U141" s="3">
        <v>293.3</v>
      </c>
      <c r="V141" s="9">
        <v>437.96</v>
      </c>
      <c r="W141" s="12">
        <f t="shared" si="7"/>
        <v>508837.11</v>
      </c>
    </row>
    <row r="142" ht="26" spans="2:23">
      <c r="B142" s="1" t="s">
        <v>9</v>
      </c>
      <c r="C142" s="9">
        <v>920.24</v>
      </c>
      <c r="D142" s="9">
        <v>2204.75</v>
      </c>
      <c r="E142" s="9">
        <v>16610.75</v>
      </c>
      <c r="F142" s="9">
        <v>46187.35</v>
      </c>
      <c r="G142" s="9">
        <v>63854.81</v>
      </c>
      <c r="H142" s="9">
        <v>53213.35</v>
      </c>
      <c r="I142" s="9">
        <v>32696.98</v>
      </c>
      <c r="J142" s="9">
        <v>70590.42</v>
      </c>
      <c r="K142" s="9">
        <v>74087.77</v>
      </c>
      <c r="L142" s="9">
        <v>26062.52</v>
      </c>
      <c r="M142" s="9">
        <v>9383.15</v>
      </c>
      <c r="N142" s="9">
        <v>5645.93</v>
      </c>
      <c r="O142" s="9">
        <v>5860.14</v>
      </c>
      <c r="P142" s="9">
        <v>34447.37</v>
      </c>
      <c r="Q142" s="9">
        <v>43147.18</v>
      </c>
      <c r="R142" s="9">
        <v>24017.61</v>
      </c>
      <c r="S142" s="9">
        <v>14327.36</v>
      </c>
      <c r="T142" s="9">
        <v>245.66</v>
      </c>
      <c r="U142" s="3">
        <v>394.98</v>
      </c>
      <c r="V142" s="9">
        <v>406.34</v>
      </c>
      <c r="W142" s="12">
        <f t="shared" si="7"/>
        <v>524304.66</v>
      </c>
    </row>
    <row r="143" ht="26" spans="2:23">
      <c r="B143" s="1" t="s">
        <v>10</v>
      </c>
      <c r="C143" s="14">
        <v>1050.23</v>
      </c>
      <c r="D143" s="9">
        <v>2169.79</v>
      </c>
      <c r="E143" s="9">
        <v>17270.86</v>
      </c>
      <c r="F143" s="9">
        <v>42038.83</v>
      </c>
      <c r="G143" s="9">
        <v>54902.56</v>
      </c>
      <c r="H143" s="9">
        <v>37809.89</v>
      </c>
      <c r="I143" s="9">
        <v>23898.08</v>
      </c>
      <c r="J143" s="9">
        <v>67970.48</v>
      </c>
      <c r="K143" s="9">
        <v>78027.2</v>
      </c>
      <c r="L143" s="9">
        <v>25263.18</v>
      </c>
      <c r="M143" s="9">
        <v>8952.64</v>
      </c>
      <c r="N143" s="9">
        <v>4812.06</v>
      </c>
      <c r="O143" s="9">
        <v>6480.44</v>
      </c>
      <c r="P143" s="9">
        <v>36319.32</v>
      </c>
      <c r="Q143" s="9">
        <v>38293.09</v>
      </c>
      <c r="R143" s="9">
        <v>20145.96</v>
      </c>
      <c r="S143" s="9">
        <v>8255.2</v>
      </c>
      <c r="T143" s="9">
        <v>1811.93</v>
      </c>
      <c r="U143" s="3">
        <v>19.24</v>
      </c>
      <c r="V143" s="9">
        <v>71.83</v>
      </c>
      <c r="W143" s="12">
        <f t="shared" si="7"/>
        <v>475562.81</v>
      </c>
    </row>
    <row r="144" ht="26" spans="2:23">
      <c r="B144" s="1" t="s">
        <v>11</v>
      </c>
      <c r="C144" s="14">
        <v>894.02</v>
      </c>
      <c r="D144" s="9">
        <v>2022.51</v>
      </c>
      <c r="E144" s="9">
        <v>13792.3</v>
      </c>
      <c r="F144" s="9">
        <v>37820.64</v>
      </c>
      <c r="G144" s="9">
        <v>58656.67</v>
      </c>
      <c r="H144" s="9">
        <v>44549.88</v>
      </c>
      <c r="I144" s="9">
        <v>25282.05</v>
      </c>
      <c r="J144" s="9">
        <v>60914.04</v>
      </c>
      <c r="K144" s="9">
        <v>77063.71</v>
      </c>
      <c r="L144" s="9">
        <v>26369.74</v>
      </c>
      <c r="M144" s="9">
        <v>10755.29</v>
      </c>
      <c r="N144" s="9">
        <v>5287.64</v>
      </c>
      <c r="O144" s="9">
        <v>6802.05</v>
      </c>
      <c r="P144" s="9">
        <v>35017.11</v>
      </c>
      <c r="Q144" s="9">
        <v>35689.5</v>
      </c>
      <c r="R144" s="9">
        <v>19851.59</v>
      </c>
      <c r="S144" s="9">
        <v>10185.53</v>
      </c>
      <c r="T144" s="9">
        <v>1997.42</v>
      </c>
      <c r="U144" s="3"/>
      <c r="V144" s="9">
        <v>20.51</v>
      </c>
      <c r="W144" s="12">
        <f t="shared" si="7"/>
        <v>472972.2</v>
      </c>
    </row>
    <row r="145" ht="26" spans="2:23">
      <c r="B145" s="1" t="s">
        <v>12</v>
      </c>
      <c r="C145" s="9">
        <v>649.26</v>
      </c>
      <c r="D145" s="9">
        <v>1824.92</v>
      </c>
      <c r="E145" s="9">
        <v>13954.37</v>
      </c>
      <c r="F145" s="9">
        <v>35098.76</v>
      </c>
      <c r="G145" s="9">
        <v>55219.34</v>
      </c>
      <c r="H145" s="9">
        <v>42147.09</v>
      </c>
      <c r="I145" s="9">
        <v>24249.9</v>
      </c>
      <c r="J145" s="9">
        <v>63793.4</v>
      </c>
      <c r="K145" s="9">
        <v>78818.07</v>
      </c>
      <c r="L145" s="9">
        <v>27151.22</v>
      </c>
      <c r="M145" s="9">
        <v>10394.94</v>
      </c>
      <c r="N145" s="9">
        <v>4862.04</v>
      </c>
      <c r="O145" s="9">
        <v>7430.19</v>
      </c>
      <c r="P145" s="9">
        <v>36065.79</v>
      </c>
      <c r="Q145" s="9">
        <v>33810.59</v>
      </c>
      <c r="R145" s="9">
        <v>17746.27</v>
      </c>
      <c r="S145" s="9">
        <v>11067.02</v>
      </c>
      <c r="T145" s="9">
        <v>605.8</v>
      </c>
      <c r="U145" s="3">
        <v>32.27</v>
      </c>
      <c r="V145" s="14"/>
      <c r="W145" s="12">
        <f t="shared" si="7"/>
        <v>464921.24</v>
      </c>
    </row>
    <row r="146" ht="26" spans="2:23">
      <c r="B146" s="1" t="s">
        <v>13</v>
      </c>
      <c r="C146" s="16">
        <v>987.05</v>
      </c>
      <c r="D146" s="9">
        <v>1671.2</v>
      </c>
      <c r="E146" s="9">
        <v>14266.4</v>
      </c>
      <c r="F146" s="9">
        <v>36454.15</v>
      </c>
      <c r="G146" s="9">
        <v>58121.76</v>
      </c>
      <c r="H146" s="9">
        <v>43019.85</v>
      </c>
      <c r="I146" s="9">
        <v>28699.33</v>
      </c>
      <c r="J146" s="15">
        <v>73655.68</v>
      </c>
      <c r="K146" s="15">
        <v>86449.45</v>
      </c>
      <c r="L146" s="15">
        <v>29204.71</v>
      </c>
      <c r="M146" s="9">
        <v>12269.92</v>
      </c>
      <c r="N146" s="9">
        <v>6279.44</v>
      </c>
      <c r="O146" s="9">
        <v>8072.21</v>
      </c>
      <c r="P146" s="9">
        <v>36473.91</v>
      </c>
      <c r="Q146" s="9">
        <v>34294.32</v>
      </c>
      <c r="R146" s="9">
        <v>18014.25</v>
      </c>
      <c r="S146" s="9">
        <v>9216.61</v>
      </c>
      <c r="T146" s="9">
        <v>500.2</v>
      </c>
      <c r="U146" s="3"/>
      <c r="V146" s="9">
        <v>32.58</v>
      </c>
      <c r="W146" s="12">
        <f t="shared" si="7"/>
        <v>497683.02</v>
      </c>
    </row>
  </sheetData>
  <mergeCells count="8">
    <mergeCell ref="C2:W2"/>
    <mergeCell ref="C20:W20"/>
    <mergeCell ref="C38:W38"/>
    <mergeCell ref="C57:W57"/>
    <mergeCell ref="C75:W75"/>
    <mergeCell ref="C94:W94"/>
    <mergeCell ref="C113:W113"/>
    <mergeCell ref="C132:W132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24年对比25年老店营业额</vt:lpstr>
      <vt:lpstr>2025年老店营业额同比 环比分析</vt:lpstr>
      <vt:lpstr>25年新店营业额环比分析</vt:lpstr>
      <vt:lpstr>2025年分渠道营业额</vt:lpstr>
      <vt:lpstr>2025年12月 堂食&amp;外卖销售统计</vt:lpstr>
      <vt:lpstr>2025年区域门店销售部类分析</vt:lpstr>
      <vt:lpstr>2025年市场部类营业额统计表-堂食</vt:lpstr>
      <vt:lpstr>2025年市场部类营业额统计表-外卖</vt:lpstr>
      <vt:lpstr>华南海鲜店</vt:lpstr>
      <vt:lpstr>2025区域门店销售时段分析</vt:lpstr>
      <vt:lpstr>2025年门店销售时段分析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徐炜蔓</cp:lastModifiedBy>
  <dcterms:created xsi:type="dcterms:W3CDTF">2018-03-03T11:14:00Z</dcterms:created>
  <dcterms:modified xsi:type="dcterms:W3CDTF">2026-01-18T16:45:29Z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BF6E9B6D31CDDF69665BD66822700677_42</vt:lpwstr>
  </property>
</Properties>
</file>